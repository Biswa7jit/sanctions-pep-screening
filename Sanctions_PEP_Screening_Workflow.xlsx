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anctions_PEP_List" sheetId="2" state="visible" r:id="rId4"/>
    <sheet name="Customers_to_Screen" sheetId="3" state="visible" r:id="rId5"/>
    <sheet name="Screening_Results" sheetId="4" state="visible" r:id="rId6"/>
  </sheets>
  <definedNames>
    <definedName function="false" hidden="true" localSheetId="2" name="_xlnm._FilterDatabase" vbProcedure="false">Customers_to_Screen!$A$1:$F$31</definedName>
    <definedName function="false" hidden="true" localSheetId="1" name="_xlnm._FilterDatabase" vbProcedure="false">Sanctions_PEP_List!$A$1:$I$26</definedName>
    <definedName function="false" hidden="true" localSheetId="3" name="_xlnm._FilterDatabase" vbProcedure="false">Screening_Results!$A$1:$N$31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<sst xmlns="http://schemas.openxmlformats.org/spreadsheetml/2006/main" count="562" uniqueCount="294">
  <si>
    <t xml:space="preserve">Sanctions &amp; PEP Screening Workflow (Excel)</t>
  </si>
  <si>
    <t xml:space="preserve">A no-code sanctions/PEP screening workflow, built entirely in Excel formulas, screening a synthetic customer book against a sanctions/PEP reference list structured the way OpenSanctions and OFAC's SDN list organize their data (entity, aliases, country, date of birth, list program).</t>
  </si>
  <si>
    <t xml:space="preserve">IMPORTANT DATA NOTE: The 'Sanctions_PEP_List' tab is a small, entirely fictional sample built to mirror the SCHEMA of a real sanctions/PEP feed - it is not, and must not be mistaken for, an actual sanctions or PEP list. For production use, an institution would connect this same workflow logic to the real OpenSanctions consolidated dataset (opensanctions.org) or OFAC's SDN list (sanctionslist.ofac.treas.gov), refreshed on the vendor's update cadence, not to this demo data.</t>
  </si>
  <si>
    <t xml:space="preserve">How to use this workbook:</t>
  </si>
  <si>
    <t xml:space="preserve">  1. 'Sanctions_PEP_List' — the reference list being screened against.</t>
  </si>
  <si>
    <t xml:space="preserve">  2. 'Customers_to_Screen' — the book of customers being checked.</t>
  </si>
  <si>
    <t xml:space="preserve">  3. 'Screening_Results' — the matching engine and the analyst's alert queue. Use the AutoFilter on row 1 to filter the 'disposition' column down to anything other than CLEAR.</t>
  </si>
  <si>
    <t xml:space="preserve">Match types this workflow detects:</t>
  </si>
  <si>
    <t xml:space="preserve">  - Exact name match — customer's stated name matches a sanctioned/PEP entity's primary name exactly (case-insensitive).</t>
  </si>
  <si>
    <t xml:space="preserve">  - Alias match — customer's stated name matches one of the known aliases on file for a sanctioned/PEP entity.</t>
  </si>
  <si>
    <t xml:space="preserve">  - Partial/token match — the customer's name shares its first and remaining name components with a list entry, without being an exact match (catches things like a dropped middle name or minor spelling variation).</t>
  </si>
  <si>
    <t xml:space="preserve">  - Secondary identifier corroboration — for any name-based hit, the workflow separately checks whether the customer's date of birth or country also matches that same list entry. This distinguishes a same-name coincidence (e.g. a customer who happens to share a name with a sanctioned individual born decades earlier in another country) from a corroborated potential hit — without ever auto-clearing a name match on that basis alone, since secondary-identifier data can itself be incomplete or wrong.</t>
  </si>
  <si>
    <t xml:space="preserve">Key formulas used (all standard Excel, no add-ins, no VBA):</t>
  </si>
  <si>
    <t xml:space="preserve">  - SUMPRODUCT with UPPER/TRIM — case- and whitespace-insensitive exact matching across the whole reference list in one formula.</t>
  </si>
  <si>
    <t xml:space="preserve">  - SEARCH (wrapped in ISNUMBER) — substring matching for aliases and partial/token matches.</t>
  </si>
  <si>
    <t xml:space="preserve">  - FIND + LEFT/MID — splitting a customer's name into a first token and a remainder token for partial matching, without any add-in.</t>
  </si>
  <si>
    <t xml:space="preserve">  - Array-entered TEXTJOIN + IF — pulling back the actual matched name(s) and list program(s) into readable columns, not just a match count.</t>
  </si>
  <si>
    <t xml:space="preserve">  - Conditional formatting — red for confirmed name/alias hits, amber for partial matches needing manual review.</t>
  </si>
  <si>
    <t xml:space="preserve">A documented limitation: this uses substring and first/remainder-token matching, not true fuzzy (edit-distance) matching like the Jaro-Winkler or Levenshtein algorithms used in commercial screening platforms (World-Check, LexisNexis Bridger). Pure Excel formulas can't express edit-distance scoring without VBA or Power Query. This is a deliberate, disclosed trade-off appropriate for a first-pass or small-institution screening tool — the token method will catch transliteration variants (e.g. a dropped hyphen) but not distant misspellings, and a production deployment would pair this with a true fuzzy-matching engine.</t>
  </si>
  <si>
    <t xml:space="preserve">entity_id</t>
  </si>
  <si>
    <t xml:space="preserve">primary_name</t>
  </si>
  <si>
    <t xml:space="preserve">aliases</t>
  </si>
  <si>
    <t xml:space="preserve">entity_type</t>
  </si>
  <si>
    <t xml:space="preserve">country</t>
  </si>
  <si>
    <t xml:space="preserve">date_of_birth</t>
  </si>
  <si>
    <t xml:space="preserve">list_program</t>
  </si>
  <si>
    <t xml:space="preserve">risk_category</t>
  </si>
  <si>
    <t xml:space="preserve">source_note</t>
  </si>
  <si>
    <t xml:space="preserve">S001</t>
  </si>
  <si>
    <t xml:space="preserve">Farid Al-Nassar</t>
  </si>
  <si>
    <t xml:space="preserve">Farid Al Nassar; F. Al-Nassar</t>
  </si>
  <si>
    <t xml:space="preserve">Person</t>
  </si>
  <si>
    <t xml:space="preserve">SY</t>
  </si>
  <si>
    <t xml:space="preserve">1968-03-12</t>
  </si>
  <si>
    <t xml:space="preserve">OFAC SDN</t>
  </si>
  <si>
    <t xml:space="preserve">Sanctioned</t>
  </si>
  <si>
    <t xml:space="preserve">Asset freeze - designated entity network</t>
  </si>
  <si>
    <t xml:space="preserve">S002</t>
  </si>
  <si>
    <t xml:space="preserve">Dmitri Volkov</t>
  </si>
  <si>
    <t xml:space="preserve">Dmitry Volkov; D. Volkov</t>
  </si>
  <si>
    <t xml:space="preserve">RU</t>
  </si>
  <si>
    <t xml:space="preserve">1975-11-02</t>
  </si>
  <si>
    <t xml:space="preserve">EU Sanctions List</t>
  </si>
  <si>
    <t xml:space="preserve">Travel ban and asset freeze</t>
  </si>
  <si>
    <t xml:space="preserve">S003</t>
  </si>
  <si>
    <t xml:space="preserve">Consolidated Metals JSC</t>
  </si>
  <si>
    <t xml:space="preserve">ConMetals JSC; Consolidated Metal Company</t>
  </si>
  <si>
    <t xml:space="preserve">Entity</t>
  </si>
  <si>
    <t xml:space="preserve">Sectoral sanctions - metals trade</t>
  </si>
  <si>
    <t xml:space="preserve">S004</t>
  </si>
  <si>
    <t xml:space="preserve">Amara Diallo</t>
  </si>
  <si>
    <t xml:space="preserve">Amara Diallo-Toure</t>
  </si>
  <si>
    <t xml:space="preserve">ML</t>
  </si>
  <si>
    <t xml:space="preserve">1982-06-30</t>
  </si>
  <si>
    <t xml:space="preserve">UN Consolidated List</t>
  </si>
  <si>
    <t xml:space="preserve">Arms embargo violation</t>
  </si>
  <si>
    <t xml:space="preserve">S005</t>
  </si>
  <si>
    <t xml:space="preserve">Silverline Trading FZE</t>
  </si>
  <si>
    <t xml:space="preserve">Silverline Trading; SL Trading FZE</t>
  </si>
  <si>
    <t xml:space="preserve">AE</t>
  </si>
  <si>
    <t xml:space="preserve">Front company - sanctions evasion</t>
  </si>
  <si>
    <t xml:space="preserve">S006</t>
  </si>
  <si>
    <t xml:space="preserve">Hassan Al-Rashid</t>
  </si>
  <si>
    <t xml:space="preserve">Hassan Al Rashid; H.A. Rashid</t>
  </si>
  <si>
    <t xml:space="preserve">IQ</t>
  </si>
  <si>
    <t xml:space="preserve">1971-01-19</t>
  </si>
  <si>
    <t xml:space="preserve">UK OFSI</t>
  </si>
  <si>
    <t xml:space="preserve">Asset freeze</t>
  </si>
  <si>
    <t xml:space="preserve">S007</t>
  </si>
  <si>
    <t xml:space="preserve">Yelena Petrova</t>
  </si>
  <si>
    <t xml:space="preserve">Elena Petrova; Y. Petrova</t>
  </si>
  <si>
    <t xml:space="preserve">BY</t>
  </si>
  <si>
    <t xml:space="preserve">1979-09-08</t>
  </si>
  <si>
    <t xml:space="preserve">Support for repression</t>
  </si>
  <si>
    <t xml:space="preserve">S008</t>
  </si>
  <si>
    <t xml:space="preserve">Global Trading Co</t>
  </si>
  <si>
    <t xml:space="preserve">Global Trading Company Ltd</t>
  </si>
  <si>
    <t xml:space="preserve">HK</t>
  </si>
  <si>
    <t xml:space="preserve">Proliferation financing network</t>
  </si>
  <si>
    <t xml:space="preserve">S009</t>
  </si>
  <si>
    <t xml:space="preserve">Nasser Al-Khalidi</t>
  </si>
  <si>
    <t xml:space="preserve">Nasser Khalidi</t>
  </si>
  <si>
    <t xml:space="preserve">1965-04-22</t>
  </si>
  <si>
    <t xml:space="preserve">Regime-affiliated financier</t>
  </si>
  <si>
    <t xml:space="preserve">S010</t>
  </si>
  <si>
    <t xml:space="preserve">Offshore Holdings LLC</t>
  </si>
  <si>
    <t xml:space="preserve">Offshore Holdings; OH Holdings LLC</t>
  </si>
  <si>
    <t xml:space="preserve">Shell company - beneficial ownership concealment</t>
  </si>
  <si>
    <t xml:space="preserve">P011</t>
  </si>
  <si>
    <t xml:space="preserve">Grace Ito</t>
  </si>
  <si>
    <t xml:space="preserve">JP</t>
  </si>
  <si>
    <t xml:space="preserve">1958-02-14</t>
  </si>
  <si>
    <t xml:space="preserve">PEP - Foreign Official</t>
  </si>
  <si>
    <t xml:space="preserve">PEP</t>
  </si>
  <si>
    <t xml:space="preserve">Former deputy minister of finance</t>
  </si>
  <si>
    <t xml:space="preserve">P012</t>
  </si>
  <si>
    <t xml:space="preserve">Carlos Mendez Vidal</t>
  </si>
  <si>
    <t xml:space="preserve">Carlos Mendez</t>
  </si>
  <si>
    <t xml:space="preserve">MX</t>
  </si>
  <si>
    <t xml:space="preserve">1964-08-05</t>
  </si>
  <si>
    <t xml:space="preserve">Sitting state governor</t>
  </si>
  <si>
    <t xml:space="preserve">P013</t>
  </si>
  <si>
    <t xml:space="preserve">Aisha Bello Suleiman</t>
  </si>
  <si>
    <t xml:space="preserve">Aisha Bello</t>
  </si>
  <si>
    <t xml:space="preserve">NG</t>
  </si>
  <si>
    <t xml:space="preserve">1970-12-01</t>
  </si>
  <si>
    <t xml:space="preserve">Central bank board member</t>
  </si>
  <si>
    <t xml:space="preserve">P014</t>
  </si>
  <si>
    <t xml:space="preserve">Viktor Horvat</t>
  </si>
  <si>
    <t xml:space="preserve">V. Horvat</t>
  </si>
  <si>
    <t xml:space="preserve">HR</t>
  </si>
  <si>
    <t xml:space="preserve">1961-05-17</t>
  </si>
  <si>
    <t xml:space="preserve">Former ambassador</t>
  </si>
  <si>
    <t xml:space="preserve">P015</t>
  </si>
  <si>
    <t xml:space="preserve">Linh Tran Thi</t>
  </si>
  <si>
    <t xml:space="preserve">Tran Thi Linh</t>
  </si>
  <si>
    <t xml:space="preserve">VN</t>
  </si>
  <si>
    <t xml:space="preserve">1973-03-09</t>
  </si>
  <si>
    <t xml:space="preserve">PEP - Domestic</t>
  </si>
  <si>
    <t xml:space="preserve">State-owned enterprise chairperson</t>
  </si>
  <si>
    <t xml:space="preserve">S016</t>
  </si>
  <si>
    <t xml:space="preserve">Boris Kuznetsov</t>
  </si>
  <si>
    <t xml:space="preserve">B. Kuznetsov; Boris Kuznetzov</t>
  </si>
  <si>
    <t xml:space="preserve">1969-07-25</t>
  </si>
  <si>
    <t xml:space="preserve">Oligarch network - asset freeze</t>
  </si>
  <si>
    <t xml:space="preserve">S017</t>
  </si>
  <si>
    <t xml:space="preserve">Meridian Shipping Group</t>
  </si>
  <si>
    <t xml:space="preserve">Meridian Shipping; MSG Ltd</t>
  </si>
  <si>
    <t xml:space="preserve">PA</t>
  </si>
  <si>
    <t xml:space="preserve">Sanctions evasion - shipping</t>
  </si>
  <si>
    <t xml:space="preserve">S018</t>
  </si>
  <si>
    <t xml:space="preserve">Khalid Ibrahim Mansour</t>
  </si>
  <si>
    <t xml:space="preserve">K.I. Mansour; Khalid Mansour</t>
  </si>
  <si>
    <t xml:space="preserve">SD</t>
  </si>
  <si>
    <t xml:space="preserve">1977-10-11</t>
  </si>
  <si>
    <t xml:space="preserve">Asset freeze - conflict financing</t>
  </si>
  <si>
    <t xml:space="preserve">S019</t>
  </si>
  <si>
    <t xml:space="preserve">Northbridge Capital Partners</t>
  </si>
  <si>
    <t xml:space="preserve">Northbridge Capital</t>
  </si>
  <si>
    <t xml:space="preserve">CY</t>
  </si>
  <si>
    <t xml:space="preserve">Sanctions evasion - investment vehicle</t>
  </si>
  <si>
    <t xml:space="preserve">S020</t>
  </si>
  <si>
    <t xml:space="preserve">Anatoly Sokolov</t>
  </si>
  <si>
    <t xml:space="preserve">A. Sokolov</t>
  </si>
  <si>
    <t xml:space="preserve">1966-02-28</t>
  </si>
  <si>
    <t xml:space="preserve">P021</t>
  </si>
  <si>
    <t xml:space="preserve">Rosa Fernandez Castillo</t>
  </si>
  <si>
    <t xml:space="preserve">Rosa Fernandez</t>
  </si>
  <si>
    <t xml:space="preserve">AR</t>
  </si>
  <si>
    <t xml:space="preserve">1959-11-23</t>
  </si>
  <si>
    <t xml:space="preserve">Former finance minister</t>
  </si>
  <si>
    <t xml:space="preserve">P022</t>
  </si>
  <si>
    <t xml:space="preserve">Kwame Owusu Ansah</t>
  </si>
  <si>
    <t xml:space="preserve">Kwame Owusu</t>
  </si>
  <si>
    <t xml:space="preserve">GH</t>
  </si>
  <si>
    <t xml:space="preserve">1963-09-14</t>
  </si>
  <si>
    <t xml:space="preserve">Regional governor</t>
  </si>
  <si>
    <t xml:space="preserve">S023</t>
  </si>
  <si>
    <t xml:space="preserve">Petrov Energy Holdings</t>
  </si>
  <si>
    <t xml:space="preserve">Petrov Energy</t>
  </si>
  <si>
    <t xml:space="preserve">Sectoral sanctions - energy</t>
  </si>
  <si>
    <t xml:space="preserve">S024</t>
  </si>
  <si>
    <t xml:space="preserve">Faisal Al-Otaibi</t>
  </si>
  <si>
    <t xml:space="preserve">Faisal Al Otaibi; F. Otaibi</t>
  </si>
  <si>
    <t xml:space="preserve">YE</t>
  </si>
  <si>
    <t xml:space="preserve">1974-06-19</t>
  </si>
  <si>
    <t xml:space="preserve">Arms trafficking network</t>
  </si>
  <si>
    <t xml:space="preserve">S025</t>
  </si>
  <si>
    <t xml:space="preserve">Everline Trading DMCC</t>
  </si>
  <si>
    <t xml:space="preserve">Everline Trading</t>
  </si>
  <si>
    <t xml:space="preserve">Gold trade sanctions evasion</t>
  </si>
  <si>
    <t xml:space="preserve">customer_id</t>
  </si>
  <si>
    <t xml:space="preserve">customer_name</t>
  </si>
  <si>
    <t xml:space="preserve">account_type</t>
  </si>
  <si>
    <t xml:space="preserve">onboarding_date</t>
  </si>
  <si>
    <t xml:space="preserve">C001</t>
  </si>
  <si>
    <t xml:space="preserve">James Whitfield</t>
  </si>
  <si>
    <t xml:space="preserve">1990-04-11</t>
  </si>
  <si>
    <t xml:space="preserve">US</t>
  </si>
  <si>
    <t xml:space="preserve">checking</t>
  </si>
  <si>
    <t xml:space="preserve">2023-01-10</t>
  </si>
  <si>
    <t xml:space="preserve">C002</t>
  </si>
  <si>
    <t xml:space="preserve">Maria Lopez</t>
  </si>
  <si>
    <t xml:space="preserve">1985-07-22</t>
  </si>
  <si>
    <t xml:space="preserve">savings</t>
  </si>
  <si>
    <t xml:space="preserve">2022-05-14</t>
  </si>
  <si>
    <t xml:space="preserve">C003</t>
  </si>
  <si>
    <t xml:space="preserve">Wei Chen</t>
  </si>
  <si>
    <t xml:space="preserve">1992-11-03</t>
  </si>
  <si>
    <t xml:space="preserve">2024-02-01</t>
  </si>
  <si>
    <t xml:space="preserve">C004</t>
  </si>
  <si>
    <t xml:space="preserve">Sarah Johnson</t>
  </si>
  <si>
    <t xml:space="preserve">1988-01-29</t>
  </si>
  <si>
    <t xml:space="preserve">business</t>
  </si>
  <si>
    <t xml:space="preserve">2021-09-19</t>
  </si>
  <si>
    <t xml:space="preserve">C005</t>
  </si>
  <si>
    <t xml:space="preserve">David Okafor</t>
  </si>
  <si>
    <t xml:space="preserve">1979-03-15</t>
  </si>
  <si>
    <t xml:space="preserve">2020-06-30</t>
  </si>
  <si>
    <t xml:space="preserve">C006</t>
  </si>
  <si>
    <t xml:space="preserve">Priya Sharma</t>
  </si>
  <si>
    <t xml:space="preserve">1995-08-08</t>
  </si>
  <si>
    <t xml:space="preserve">2023-11-02</t>
  </si>
  <si>
    <t xml:space="preserve">C007</t>
  </si>
  <si>
    <t xml:space="preserve">Thomas Nguyen</t>
  </si>
  <si>
    <t xml:space="preserve">1983-12-20</t>
  </si>
  <si>
    <t xml:space="preserve">2019-04-25</t>
  </si>
  <si>
    <t xml:space="preserve">C008</t>
  </si>
  <si>
    <t xml:space="preserve">Emily Carter</t>
  </si>
  <si>
    <t xml:space="preserve">1991-06-17</t>
  </si>
  <si>
    <t xml:space="preserve">2022-08-08</t>
  </si>
  <si>
    <t xml:space="preserve">C009</t>
  </si>
  <si>
    <t xml:space="preserve">Luca Romano</t>
  </si>
  <si>
    <t xml:space="preserve">1987-02-09</t>
  </si>
  <si>
    <t xml:space="preserve">2020-12-15</t>
  </si>
  <si>
    <t xml:space="preserve">C010</t>
  </si>
  <si>
    <t xml:space="preserve">Hannah Kim</t>
  </si>
  <si>
    <t xml:space="preserve">1993-10-05</t>
  </si>
  <si>
    <t xml:space="preserve">2024-05-20</t>
  </si>
  <si>
    <t xml:space="preserve">C011</t>
  </si>
  <si>
    <t xml:space="preserve">Michael Brooks</t>
  </si>
  <si>
    <t xml:space="preserve">1980-05-27</t>
  </si>
  <si>
    <t xml:space="preserve">2018-03-11</t>
  </si>
  <si>
    <t xml:space="preserve">C012</t>
  </si>
  <si>
    <t xml:space="preserve">Fatima Noor</t>
  </si>
  <si>
    <t xml:space="preserve">1996-09-30</t>
  </si>
  <si>
    <t xml:space="preserve">2023-07-04</t>
  </si>
  <si>
    <t xml:space="preserve">C013</t>
  </si>
  <si>
    <t xml:space="preserve">1990-01-01</t>
  </si>
  <si>
    <t xml:space="preserve">2024-01-15</t>
  </si>
  <si>
    <t xml:space="preserve">C014</t>
  </si>
  <si>
    <t xml:space="preserve">1985-05-05</t>
  </si>
  <si>
    <t xml:space="preserve">2023-03-22</t>
  </si>
  <si>
    <t xml:space="preserve">C015</t>
  </si>
  <si>
    <t xml:space="preserve">2024-06-01</t>
  </si>
  <si>
    <t xml:space="preserve">C016</t>
  </si>
  <si>
    <t xml:space="preserve">Elena Petrova</t>
  </si>
  <si>
    <t xml:space="preserve">2024-04-18</t>
  </si>
  <si>
    <t xml:space="preserve">C017</t>
  </si>
  <si>
    <t xml:space="preserve">Consolidated Metal Company</t>
  </si>
  <si>
    <t xml:space="preserve">2023-12-05</t>
  </si>
  <si>
    <t xml:space="preserve">C018</t>
  </si>
  <si>
    <t xml:space="preserve">Hassan Al Rashid</t>
  </si>
  <si>
    <t xml:space="preserve">2024-02-14</t>
  </si>
  <si>
    <t xml:space="preserve">C019</t>
  </si>
  <si>
    <t xml:space="preserve">Boris Kuznetzov</t>
  </si>
  <si>
    <t xml:space="preserve">2024-03-30</t>
  </si>
  <si>
    <t xml:space="preserve">C020</t>
  </si>
  <si>
    <t xml:space="preserve">Khalid Mansour</t>
  </si>
  <si>
    <t xml:space="preserve">2024-01-09</t>
  </si>
  <si>
    <t xml:space="preserve">C021</t>
  </si>
  <si>
    <t xml:space="preserve">2022-10-01</t>
  </si>
  <si>
    <t xml:space="preserve">C022</t>
  </si>
  <si>
    <t xml:space="preserve">2023-05-17</t>
  </si>
  <si>
    <t xml:space="preserve">C023</t>
  </si>
  <si>
    <t xml:space="preserve">2021-11-08</t>
  </si>
  <si>
    <t xml:space="preserve">C024</t>
  </si>
  <si>
    <t xml:space="preserve">Rebecca Adams</t>
  </si>
  <si>
    <t xml:space="preserve">1994-03-02</t>
  </si>
  <si>
    <t xml:space="preserve">2023-09-09</t>
  </si>
  <si>
    <t xml:space="preserve">C025</t>
  </si>
  <si>
    <t xml:space="preserve">Daniel Foster</t>
  </si>
  <si>
    <t xml:space="preserve">1989-07-19</t>
  </si>
  <si>
    <t xml:space="preserve">2022-01-27</t>
  </si>
  <si>
    <t xml:space="preserve">C026</t>
  </si>
  <si>
    <t xml:space="preserve">Olivia Martinez</t>
  </si>
  <si>
    <t xml:space="preserve">1997-02-25</t>
  </si>
  <si>
    <t xml:space="preserve">2024-07-13</t>
  </si>
  <si>
    <t xml:space="preserve">C027</t>
  </si>
  <si>
    <t xml:space="preserve">Ahmed Hassan</t>
  </si>
  <si>
    <t xml:space="preserve">1982-04-06</t>
  </si>
  <si>
    <t xml:space="preserve">2020-08-22</t>
  </si>
  <si>
    <t xml:space="preserve">C028</t>
  </si>
  <si>
    <t xml:space="preserve">Grace Chen</t>
  </si>
  <si>
    <t xml:space="preserve">1991-12-12</t>
  </si>
  <si>
    <t xml:space="preserve">2023-02-28</t>
  </si>
  <si>
    <t xml:space="preserve">C029</t>
  </si>
  <si>
    <t xml:space="preserve">Robert Hayes</t>
  </si>
  <si>
    <t xml:space="preserve">1975-10-30</t>
  </si>
  <si>
    <t xml:space="preserve">2019-06-05</t>
  </si>
  <si>
    <t xml:space="preserve">C030</t>
  </si>
  <si>
    <t xml:space="preserve">Nadia Petrov</t>
  </si>
  <si>
    <t xml:space="preserve">1986-06-14</t>
  </si>
  <si>
    <t xml:space="preserve">2024-03-11</t>
  </si>
  <si>
    <t xml:space="preserve">name_token_1</t>
  </si>
  <si>
    <t xml:space="preserve">name_token_2</t>
  </si>
  <si>
    <t xml:space="preserve">exact_name_match_count</t>
  </si>
  <si>
    <t xml:space="preserve">alias_match_count</t>
  </si>
  <si>
    <t xml:space="preserve">partial_token_match_count</t>
  </si>
  <si>
    <t xml:space="preserve">dob_or_country_corroboration_count</t>
  </si>
  <si>
    <t xml:space="preserve">matched_names_exact_or_alias</t>
  </si>
  <si>
    <t xml:space="preserve">matched_programs_exact_or_alias</t>
  </si>
  <si>
    <t xml:space="preserve">matched_names_partial</t>
  </si>
  <si>
    <t xml:space="preserve">disposition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</si>
</sst>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9C0006"/>
          <bgColor rgb="FF000000"/>
        </patternFill>
      </fill>
    </dxf>
    <dxf>
      <font>
        <name val="Arial"/>
        <charset val="1"/>
        <family val="0"/>
        <color rgb="FF9C0006"/>
        <sz val="10"/>
      </font>
      <fill>
        <patternFill>
          <bgColor rgb="FFFFC7CE"/>
        </patternFill>
      </fill>
    </dxf>
    <dxf>
      <font>
        <name val="Arial"/>
        <charset val="1"/>
        <family val="0"/>
        <color rgb="FF9C6500"/>
        <sz val="1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5"/>
  </cols>
  <sheetData>
    <row r="1" customFormat="false" ht="17.35" hidden="false" customHeight="false" outlineLevel="0" collapsed="false">
      <c r="A1" s="2" t="s">
        <v>0</v>
      </c>
    </row>
    <row r="3" customFormat="false" ht="35.05" hidden="false" customHeight="false" outlineLevel="0" collapsed="false">
      <c r="A3" s="3" t="s">
        <v>1</v>
      </c>
    </row>
    <row r="4" customFormat="false" ht="15" hidden="false" customHeight="false" outlineLevel="0" collapsed="false">
      <c r="A4" s="3"/>
    </row>
    <row r="5" customFormat="false" ht="46.25" hidden="false" customHeight="false" outlineLevel="0" collapsed="false">
      <c r="A5" s="3" t="s">
        <v>2</v>
      </c>
    </row>
    <row r="6" customFormat="false" ht="15" hidden="false" customHeight="false" outlineLevel="0" collapsed="false">
      <c r="A6" s="3"/>
    </row>
    <row r="7" customFormat="false" ht="15" hidden="false" customHeight="false" outlineLevel="0" collapsed="false">
      <c r="A7" s="3" t="s">
        <v>3</v>
      </c>
    </row>
    <row r="8" customFormat="false" ht="15" hidden="false" customHeight="false" outlineLevel="0" collapsed="false">
      <c r="A8" s="3" t="s">
        <v>4</v>
      </c>
    </row>
    <row r="9" customFormat="false" ht="15" hidden="false" customHeight="false" outlineLevel="0" collapsed="false">
      <c r="A9" s="3" t="s">
        <v>5</v>
      </c>
    </row>
    <row r="10" customFormat="false" ht="23.85" hidden="false" customHeight="false" outlineLevel="0" collapsed="false">
      <c r="A10" s="3" t="s">
        <v>6</v>
      </c>
    </row>
    <row r="11" customFormat="false" ht="15" hidden="false" customHeight="false" outlineLevel="0" collapsed="false">
      <c r="A11" s="3"/>
    </row>
    <row r="12" customFormat="false" ht="15" hidden="false" customHeight="false" outlineLevel="0" collapsed="false">
      <c r="A12" s="3" t="s">
        <v>7</v>
      </c>
    </row>
    <row r="13" customFormat="false" ht="15" hidden="false" customHeight="false" outlineLevel="0" collapsed="false">
      <c r="A13" s="3" t="s">
        <v>8</v>
      </c>
    </row>
    <row r="14" customFormat="false" ht="15" hidden="false" customHeight="false" outlineLevel="0" collapsed="false">
      <c r="A14" s="3" t="s">
        <v>9</v>
      </c>
    </row>
    <row r="15" customFormat="false" ht="23.85" hidden="false" customHeight="false" outlineLevel="0" collapsed="false">
      <c r="A15" s="3" t="s">
        <v>10</v>
      </c>
    </row>
    <row r="16" customFormat="false" ht="46.25" hidden="false" customHeight="false" outlineLevel="0" collapsed="false">
      <c r="A16" s="3" t="s">
        <v>11</v>
      </c>
    </row>
    <row r="17" customFormat="false" ht="15" hidden="false" customHeight="false" outlineLevel="0" collapsed="false">
      <c r="A17" s="3"/>
    </row>
    <row r="18" customFormat="false" ht="15" hidden="false" customHeight="false" outlineLevel="0" collapsed="false">
      <c r="A18" s="3" t="s">
        <v>12</v>
      </c>
    </row>
    <row r="19" customFormat="false" ht="23.85" hidden="false" customHeight="false" outlineLevel="0" collapsed="false">
      <c r="A19" s="3" t="s">
        <v>13</v>
      </c>
    </row>
    <row r="20" customFormat="false" ht="15" hidden="false" customHeight="false" outlineLevel="0" collapsed="false">
      <c r="A20" s="3" t="s">
        <v>14</v>
      </c>
    </row>
    <row r="21" customFormat="false" ht="23.85" hidden="false" customHeight="false" outlineLevel="0" collapsed="false">
      <c r="A21" s="3" t="s">
        <v>15</v>
      </c>
    </row>
    <row r="22" customFormat="false" ht="23.85" hidden="false" customHeight="false" outlineLevel="0" collapsed="false">
      <c r="A22" s="3" t="s">
        <v>16</v>
      </c>
    </row>
    <row r="23" customFormat="false" ht="15" hidden="false" customHeight="false" outlineLevel="0" collapsed="false">
      <c r="A23" s="3" t="s">
        <v>17</v>
      </c>
    </row>
    <row r="24" customFormat="false" ht="15" hidden="false" customHeight="false" outlineLevel="0" collapsed="false">
      <c r="A24" s="3"/>
    </row>
    <row r="25" customFormat="false" ht="57.45" hidden="false" customHeight="false" outlineLevel="0" collapsed="false">
      <c r="A25"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30"/>
    <col collapsed="false" customWidth="true" hidden="false" outlineLevel="0" max="4" min="4" style="1" width="10"/>
    <col collapsed="false" customWidth="true" hidden="false" outlineLevel="0" max="5" min="5" style="1" width="9"/>
    <col collapsed="false" customWidth="true" hidden="false" outlineLevel="0" max="6" min="6" style="1" width="13"/>
    <col collapsed="false" customWidth="true" hidden="false" outlineLevel="0" max="7" min="7" style="1" width="18"/>
    <col collapsed="false" customWidth="true" hidden="false" outlineLevel="0" max="8" min="8" style="1" width="12"/>
    <col collapsed="false" customWidth="true" hidden="false" outlineLevel="0" max="9" min="9" style="1" width="32"/>
  </cols>
  <sheetData>
    <row r="1" customFormat="false" ht="23.85" hidden="false" customHeight="false" outlineLevel="0" collapsed="false">
      <c r="A1" s="4" t="s">
        <v>19</v>
      </c>
      <c r="B1" s="4" t="s">
        <v>20</v>
      </c>
      <c r="C1" s="4" t="s">
        <v>21</v>
      </c>
      <c r="D1" s="4" t="s">
        <v>22</v>
      </c>
      <c r="E1" s="4" t="s">
        <v>23</v>
      </c>
      <c r="F1" s="4" t="s">
        <v>24</v>
      </c>
      <c r="G1" s="4" t="s">
        <v>25</v>
      </c>
      <c r="H1" s="4" t="s">
        <v>26</v>
      </c>
      <c r="I1" s="4" t="s">
        <v>27</v>
      </c>
    </row>
    <row r="2" customFormat="false" ht="15" hidden="false" customHeight="false" outlineLevel="0" collapsed="false">
      <c r="A2" s="5" t="s">
        <v>28</v>
      </c>
      <c r="B2" s="5" t="s">
        <v>29</v>
      </c>
      <c r="C2" s="5" t="s">
        <v>30</v>
      </c>
      <c r="D2" s="5" t="s">
        <v>31</v>
      </c>
      <c r="E2" s="5" t="s">
        <v>32</v>
      </c>
      <c r="F2" s="5" t="s">
        <v>33</v>
      </c>
      <c r="G2" s="5" t="s">
        <v>34</v>
      </c>
      <c r="H2" s="5" t="s">
        <v>35</v>
      </c>
      <c r="I2" s="5" t="s">
        <v>36</v>
      </c>
    </row>
    <row r="3" customFormat="false" ht="15" hidden="false" customHeight="false" outlineLevel="0" collapsed="false">
      <c r="A3" s="5" t="s">
        <v>37</v>
      </c>
      <c r="B3" s="5" t="s">
        <v>38</v>
      </c>
      <c r="C3" s="5" t="s">
        <v>39</v>
      </c>
      <c r="D3" s="5" t="s">
        <v>31</v>
      </c>
      <c r="E3" s="5" t="s">
        <v>40</v>
      </c>
      <c r="F3" s="5" t="s">
        <v>41</v>
      </c>
      <c r="G3" s="5" t="s">
        <v>42</v>
      </c>
      <c r="H3" s="5" t="s">
        <v>35</v>
      </c>
      <c r="I3" s="5" t="s">
        <v>43</v>
      </c>
    </row>
    <row r="4" customFormat="false" ht="15" hidden="false" customHeight="false" outlineLevel="0" collapsed="false">
      <c r="A4" s="5" t="s">
        <v>44</v>
      </c>
      <c r="B4" s="5" t="s">
        <v>45</v>
      </c>
      <c r="C4" s="5" t="s">
        <v>46</v>
      </c>
      <c r="D4" s="5" t="s">
        <v>47</v>
      </c>
      <c r="E4" s="5" t="s">
        <v>40</v>
      </c>
      <c r="F4" s="5"/>
      <c r="G4" s="5" t="s">
        <v>34</v>
      </c>
      <c r="H4" s="5" t="s">
        <v>35</v>
      </c>
      <c r="I4" s="5" t="s">
        <v>48</v>
      </c>
    </row>
    <row r="5" customFormat="false" ht="15" hidden="false" customHeight="false" outlineLevel="0" collapsed="false">
      <c r="A5" s="5" t="s">
        <v>49</v>
      </c>
      <c r="B5" s="5" t="s">
        <v>50</v>
      </c>
      <c r="C5" s="5" t="s">
        <v>51</v>
      </c>
      <c r="D5" s="5" t="s">
        <v>31</v>
      </c>
      <c r="E5" s="5" t="s">
        <v>52</v>
      </c>
      <c r="F5" s="5" t="s">
        <v>53</v>
      </c>
      <c r="G5" s="5" t="s">
        <v>54</v>
      </c>
      <c r="H5" s="5" t="s">
        <v>35</v>
      </c>
      <c r="I5" s="5" t="s">
        <v>55</v>
      </c>
    </row>
    <row r="6" customFormat="false" ht="15" hidden="false" customHeight="false" outlineLevel="0" collapsed="false">
      <c r="A6" s="5" t="s">
        <v>56</v>
      </c>
      <c r="B6" s="5" t="s">
        <v>57</v>
      </c>
      <c r="C6" s="5" t="s">
        <v>58</v>
      </c>
      <c r="D6" s="5" t="s">
        <v>47</v>
      </c>
      <c r="E6" s="5" t="s">
        <v>59</v>
      </c>
      <c r="F6" s="5"/>
      <c r="G6" s="5" t="s">
        <v>34</v>
      </c>
      <c r="H6" s="5" t="s">
        <v>35</v>
      </c>
      <c r="I6" s="5" t="s">
        <v>60</v>
      </c>
    </row>
    <row r="7" customFormat="false" ht="15" hidden="false" customHeight="false" outlineLevel="0" collapsed="false">
      <c r="A7" s="5" t="s">
        <v>61</v>
      </c>
      <c r="B7" s="5" t="s">
        <v>62</v>
      </c>
      <c r="C7" s="5" t="s">
        <v>63</v>
      </c>
      <c r="D7" s="5" t="s">
        <v>31</v>
      </c>
      <c r="E7" s="5" t="s">
        <v>64</v>
      </c>
      <c r="F7" s="5" t="s">
        <v>65</v>
      </c>
      <c r="G7" s="5" t="s">
        <v>66</v>
      </c>
      <c r="H7" s="5" t="s">
        <v>35</v>
      </c>
      <c r="I7" s="5" t="s">
        <v>67</v>
      </c>
    </row>
    <row r="8" customFormat="false" ht="15" hidden="false" customHeight="false" outlineLevel="0" collapsed="false">
      <c r="A8" s="5" t="s">
        <v>68</v>
      </c>
      <c r="B8" s="5" t="s">
        <v>69</v>
      </c>
      <c r="C8" s="5" t="s">
        <v>70</v>
      </c>
      <c r="D8" s="5" t="s">
        <v>31</v>
      </c>
      <c r="E8" s="5" t="s">
        <v>71</v>
      </c>
      <c r="F8" s="5" t="s">
        <v>72</v>
      </c>
      <c r="G8" s="5" t="s">
        <v>42</v>
      </c>
      <c r="H8" s="5" t="s">
        <v>35</v>
      </c>
      <c r="I8" s="5" t="s">
        <v>73</v>
      </c>
    </row>
    <row r="9" customFormat="false" ht="15" hidden="false" customHeight="false" outlineLevel="0" collapsed="false">
      <c r="A9" s="5" t="s">
        <v>74</v>
      </c>
      <c r="B9" s="5" t="s">
        <v>75</v>
      </c>
      <c r="C9" s="5" t="s">
        <v>76</v>
      </c>
      <c r="D9" s="5" t="s">
        <v>47</v>
      </c>
      <c r="E9" s="5" t="s">
        <v>77</v>
      </c>
      <c r="F9" s="5"/>
      <c r="G9" s="5" t="s">
        <v>34</v>
      </c>
      <c r="H9" s="5" t="s">
        <v>35</v>
      </c>
      <c r="I9" s="5" t="s">
        <v>78</v>
      </c>
    </row>
    <row r="10" customFormat="false" ht="15" hidden="false" customHeight="false" outlineLevel="0" collapsed="false">
      <c r="A10" s="5" t="s">
        <v>79</v>
      </c>
      <c r="B10" s="5" t="s">
        <v>80</v>
      </c>
      <c r="C10" s="5" t="s">
        <v>81</v>
      </c>
      <c r="D10" s="5" t="s">
        <v>31</v>
      </c>
      <c r="E10" s="5" t="s">
        <v>32</v>
      </c>
      <c r="F10" s="5" t="s">
        <v>82</v>
      </c>
      <c r="G10" s="5" t="s">
        <v>54</v>
      </c>
      <c r="H10" s="5" t="s">
        <v>35</v>
      </c>
      <c r="I10" s="5" t="s">
        <v>83</v>
      </c>
    </row>
    <row r="11" customFormat="false" ht="15" hidden="false" customHeight="false" outlineLevel="0" collapsed="false">
      <c r="A11" s="5" t="s">
        <v>84</v>
      </c>
      <c r="B11" s="5" t="s">
        <v>85</v>
      </c>
      <c r="C11" s="5" t="s">
        <v>86</v>
      </c>
      <c r="D11" s="5" t="s">
        <v>47</v>
      </c>
      <c r="E11" s="5" t="s">
        <v>59</v>
      </c>
      <c r="F11" s="5"/>
      <c r="G11" s="5" t="s">
        <v>34</v>
      </c>
      <c r="H11" s="5" t="s">
        <v>35</v>
      </c>
      <c r="I11" s="5" t="s">
        <v>87</v>
      </c>
    </row>
    <row r="12" customFormat="false" ht="15" hidden="false" customHeight="false" outlineLevel="0" collapsed="false">
      <c r="A12" s="5" t="s">
        <v>88</v>
      </c>
      <c r="B12" s="5" t="s">
        <v>89</v>
      </c>
      <c r="C12" s="5"/>
      <c r="D12" s="5" t="s">
        <v>31</v>
      </c>
      <c r="E12" s="5" t="s">
        <v>90</v>
      </c>
      <c r="F12" s="5" t="s">
        <v>91</v>
      </c>
      <c r="G12" s="5" t="s">
        <v>92</v>
      </c>
      <c r="H12" s="5" t="s">
        <v>93</v>
      </c>
      <c r="I12" s="5" t="s">
        <v>94</v>
      </c>
    </row>
    <row r="13" customFormat="false" ht="15" hidden="false" customHeight="false" outlineLevel="0" collapsed="false">
      <c r="A13" s="5" t="s">
        <v>95</v>
      </c>
      <c r="B13" s="5" t="s">
        <v>96</v>
      </c>
      <c r="C13" s="5" t="s">
        <v>97</v>
      </c>
      <c r="D13" s="5" t="s">
        <v>31</v>
      </c>
      <c r="E13" s="5" t="s">
        <v>98</v>
      </c>
      <c r="F13" s="5" t="s">
        <v>99</v>
      </c>
      <c r="G13" s="5" t="s">
        <v>92</v>
      </c>
      <c r="H13" s="5" t="s">
        <v>93</v>
      </c>
      <c r="I13" s="5" t="s">
        <v>100</v>
      </c>
    </row>
    <row r="14" customFormat="false" ht="15" hidden="false" customHeight="false" outlineLevel="0" collapsed="false">
      <c r="A14" s="5" t="s">
        <v>101</v>
      </c>
      <c r="B14" s="5" t="s">
        <v>102</v>
      </c>
      <c r="C14" s="5" t="s">
        <v>103</v>
      </c>
      <c r="D14" s="5" t="s">
        <v>31</v>
      </c>
      <c r="E14" s="5" t="s">
        <v>104</v>
      </c>
      <c r="F14" s="5" t="s">
        <v>105</v>
      </c>
      <c r="G14" s="5" t="s">
        <v>92</v>
      </c>
      <c r="H14" s="5" t="s">
        <v>93</v>
      </c>
      <c r="I14" s="5" t="s">
        <v>106</v>
      </c>
    </row>
    <row r="15" customFormat="false" ht="15" hidden="false" customHeight="false" outlineLevel="0" collapsed="false">
      <c r="A15" s="5" t="s">
        <v>107</v>
      </c>
      <c r="B15" s="5" t="s">
        <v>108</v>
      </c>
      <c r="C15" s="5" t="s">
        <v>109</v>
      </c>
      <c r="D15" s="5" t="s">
        <v>31</v>
      </c>
      <c r="E15" s="5" t="s">
        <v>110</v>
      </c>
      <c r="F15" s="5" t="s">
        <v>111</v>
      </c>
      <c r="G15" s="5" t="s">
        <v>92</v>
      </c>
      <c r="H15" s="5" t="s">
        <v>93</v>
      </c>
      <c r="I15" s="5" t="s">
        <v>112</v>
      </c>
    </row>
    <row r="16" customFormat="false" ht="15" hidden="false" customHeight="false" outlineLevel="0" collapsed="false">
      <c r="A16" s="5" t="s">
        <v>113</v>
      </c>
      <c r="B16" s="5" t="s">
        <v>114</v>
      </c>
      <c r="C16" s="5" t="s">
        <v>115</v>
      </c>
      <c r="D16" s="5" t="s">
        <v>31</v>
      </c>
      <c r="E16" s="5" t="s">
        <v>116</v>
      </c>
      <c r="F16" s="5" t="s">
        <v>117</v>
      </c>
      <c r="G16" s="5" t="s">
        <v>118</v>
      </c>
      <c r="H16" s="5" t="s">
        <v>93</v>
      </c>
      <c r="I16" s="5" t="s">
        <v>119</v>
      </c>
    </row>
    <row r="17" customFormat="false" ht="15" hidden="false" customHeight="false" outlineLevel="0" collapsed="false">
      <c r="A17" s="5" t="s">
        <v>120</v>
      </c>
      <c r="B17" s="5" t="s">
        <v>121</v>
      </c>
      <c r="C17" s="5" t="s">
        <v>122</v>
      </c>
      <c r="D17" s="5" t="s">
        <v>31</v>
      </c>
      <c r="E17" s="5" t="s">
        <v>40</v>
      </c>
      <c r="F17" s="5" t="s">
        <v>123</v>
      </c>
      <c r="G17" s="5" t="s">
        <v>42</v>
      </c>
      <c r="H17" s="5" t="s">
        <v>35</v>
      </c>
      <c r="I17" s="5" t="s">
        <v>124</v>
      </c>
    </row>
    <row r="18" customFormat="false" ht="15" hidden="false" customHeight="false" outlineLevel="0" collapsed="false">
      <c r="A18" s="5" t="s">
        <v>125</v>
      </c>
      <c r="B18" s="5" t="s">
        <v>126</v>
      </c>
      <c r="C18" s="5" t="s">
        <v>127</v>
      </c>
      <c r="D18" s="5" t="s">
        <v>47</v>
      </c>
      <c r="E18" s="5" t="s">
        <v>128</v>
      </c>
      <c r="F18" s="5"/>
      <c r="G18" s="5" t="s">
        <v>34</v>
      </c>
      <c r="H18" s="5" t="s">
        <v>35</v>
      </c>
      <c r="I18" s="5" t="s">
        <v>129</v>
      </c>
    </row>
    <row r="19" customFormat="false" ht="15" hidden="false" customHeight="false" outlineLevel="0" collapsed="false">
      <c r="A19" s="5" t="s">
        <v>130</v>
      </c>
      <c r="B19" s="5" t="s">
        <v>131</v>
      </c>
      <c r="C19" s="5" t="s">
        <v>132</v>
      </c>
      <c r="D19" s="5" t="s">
        <v>31</v>
      </c>
      <c r="E19" s="5" t="s">
        <v>133</v>
      </c>
      <c r="F19" s="5" t="s">
        <v>134</v>
      </c>
      <c r="G19" s="5" t="s">
        <v>54</v>
      </c>
      <c r="H19" s="5" t="s">
        <v>35</v>
      </c>
      <c r="I19" s="5" t="s">
        <v>135</v>
      </c>
    </row>
    <row r="20" customFormat="false" ht="15" hidden="false" customHeight="false" outlineLevel="0" collapsed="false">
      <c r="A20" s="5" t="s">
        <v>136</v>
      </c>
      <c r="B20" s="5" t="s">
        <v>137</v>
      </c>
      <c r="C20" s="5" t="s">
        <v>138</v>
      </c>
      <c r="D20" s="5" t="s">
        <v>47</v>
      </c>
      <c r="E20" s="5" t="s">
        <v>139</v>
      </c>
      <c r="F20" s="5"/>
      <c r="G20" s="5" t="s">
        <v>34</v>
      </c>
      <c r="H20" s="5" t="s">
        <v>35</v>
      </c>
      <c r="I20" s="5" t="s">
        <v>140</v>
      </c>
    </row>
    <row r="21" customFormat="false" ht="15" hidden="false" customHeight="false" outlineLevel="0" collapsed="false">
      <c r="A21" s="5" t="s">
        <v>141</v>
      </c>
      <c r="B21" s="5" t="s">
        <v>142</v>
      </c>
      <c r="C21" s="5" t="s">
        <v>143</v>
      </c>
      <c r="D21" s="5" t="s">
        <v>31</v>
      </c>
      <c r="E21" s="5" t="s">
        <v>40</v>
      </c>
      <c r="F21" s="5" t="s">
        <v>144</v>
      </c>
      <c r="G21" s="5" t="s">
        <v>66</v>
      </c>
      <c r="H21" s="5" t="s">
        <v>35</v>
      </c>
      <c r="I21" s="5" t="s">
        <v>67</v>
      </c>
    </row>
    <row r="22" customFormat="false" ht="15" hidden="false" customHeight="false" outlineLevel="0" collapsed="false">
      <c r="A22" s="5" t="s">
        <v>145</v>
      </c>
      <c r="B22" s="5" t="s">
        <v>146</v>
      </c>
      <c r="C22" s="5" t="s">
        <v>147</v>
      </c>
      <c r="D22" s="5" t="s">
        <v>31</v>
      </c>
      <c r="E22" s="5" t="s">
        <v>148</v>
      </c>
      <c r="F22" s="5" t="s">
        <v>149</v>
      </c>
      <c r="G22" s="5" t="s">
        <v>92</v>
      </c>
      <c r="H22" s="5" t="s">
        <v>93</v>
      </c>
      <c r="I22" s="5" t="s">
        <v>150</v>
      </c>
    </row>
    <row r="23" customFormat="false" ht="15" hidden="false" customHeight="false" outlineLevel="0" collapsed="false">
      <c r="A23" s="5" t="s">
        <v>151</v>
      </c>
      <c r="B23" s="5" t="s">
        <v>152</v>
      </c>
      <c r="C23" s="5" t="s">
        <v>153</v>
      </c>
      <c r="D23" s="5" t="s">
        <v>31</v>
      </c>
      <c r="E23" s="5" t="s">
        <v>154</v>
      </c>
      <c r="F23" s="5" t="s">
        <v>155</v>
      </c>
      <c r="G23" s="5" t="s">
        <v>118</v>
      </c>
      <c r="H23" s="5" t="s">
        <v>93</v>
      </c>
      <c r="I23" s="5" t="s">
        <v>156</v>
      </c>
    </row>
    <row r="24" customFormat="false" ht="15" hidden="false" customHeight="false" outlineLevel="0" collapsed="false">
      <c r="A24" s="5" t="s">
        <v>157</v>
      </c>
      <c r="B24" s="5" t="s">
        <v>158</v>
      </c>
      <c r="C24" s="5" t="s">
        <v>159</v>
      </c>
      <c r="D24" s="5" t="s">
        <v>47</v>
      </c>
      <c r="E24" s="5" t="s">
        <v>40</v>
      </c>
      <c r="F24" s="5"/>
      <c r="G24" s="5" t="s">
        <v>42</v>
      </c>
      <c r="H24" s="5" t="s">
        <v>35</v>
      </c>
      <c r="I24" s="5" t="s">
        <v>160</v>
      </c>
    </row>
    <row r="25" customFormat="false" ht="15" hidden="false" customHeight="false" outlineLevel="0" collapsed="false">
      <c r="A25" s="5" t="s">
        <v>161</v>
      </c>
      <c r="B25" s="5" t="s">
        <v>162</v>
      </c>
      <c r="C25" s="5" t="s">
        <v>163</v>
      </c>
      <c r="D25" s="5" t="s">
        <v>31</v>
      </c>
      <c r="E25" s="5" t="s">
        <v>164</v>
      </c>
      <c r="F25" s="5" t="s">
        <v>165</v>
      </c>
      <c r="G25" s="5" t="s">
        <v>54</v>
      </c>
      <c r="H25" s="5" t="s">
        <v>35</v>
      </c>
      <c r="I25" s="5" t="s">
        <v>166</v>
      </c>
    </row>
    <row r="26" customFormat="false" ht="15" hidden="false" customHeight="false" outlineLevel="0" collapsed="false">
      <c r="A26" s="5" t="s">
        <v>167</v>
      </c>
      <c r="B26" s="5" t="s">
        <v>168</v>
      </c>
      <c r="C26" s="5" t="s">
        <v>169</v>
      </c>
      <c r="D26" s="5" t="s">
        <v>47</v>
      </c>
      <c r="E26" s="5" t="s">
        <v>59</v>
      </c>
      <c r="F26" s="5"/>
      <c r="G26" s="5" t="s">
        <v>34</v>
      </c>
      <c r="H26" s="5" t="s">
        <v>35</v>
      </c>
      <c r="I26" s="5" t="s">
        <v>170</v>
      </c>
    </row>
  </sheetData>
  <autoFilter ref="A1:I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3"/>
    <col collapsed="false" customWidth="true" hidden="false" outlineLevel="0" max="4" min="4" style="1" width="9"/>
    <col collapsed="false" customWidth="true" hidden="false" outlineLevel="0" max="5" min="5" style="1" width="12"/>
    <col collapsed="false" customWidth="true" hidden="false" outlineLevel="0" max="6" min="6" style="1" width="14"/>
  </cols>
  <sheetData>
    <row r="1" customFormat="false" ht="23.85" hidden="false" customHeight="false" outlineLevel="0" collapsed="false">
      <c r="A1" s="4" t="s">
        <v>171</v>
      </c>
      <c r="B1" s="4" t="s">
        <v>172</v>
      </c>
      <c r="C1" s="4" t="s">
        <v>24</v>
      </c>
      <c r="D1" s="4" t="s">
        <v>23</v>
      </c>
      <c r="E1" s="4" t="s">
        <v>173</v>
      </c>
      <c r="F1" s="4" t="s">
        <v>174</v>
      </c>
    </row>
    <row r="2" customFormat="false" ht="15" hidden="false" customHeight="false" outlineLevel="0" collapsed="false">
      <c r="A2" s="5" t="s">
        <v>175</v>
      </c>
      <c r="B2" s="5" t="s">
        <v>176</v>
      </c>
      <c r="C2" s="5" t="s">
        <v>177</v>
      </c>
      <c r="D2" s="5" t="s">
        <v>178</v>
      </c>
      <c r="E2" s="5" t="s">
        <v>179</v>
      </c>
      <c r="F2" s="5" t="s">
        <v>180</v>
      </c>
    </row>
    <row r="3" customFormat="false" ht="15" hidden="false" customHeight="false" outlineLevel="0" collapsed="false">
      <c r="A3" s="5" t="s">
        <v>181</v>
      </c>
      <c r="B3" s="5" t="s">
        <v>182</v>
      </c>
      <c r="C3" s="5" t="s">
        <v>183</v>
      </c>
      <c r="D3" s="5" t="s">
        <v>178</v>
      </c>
      <c r="E3" s="5" t="s">
        <v>184</v>
      </c>
      <c r="F3" s="5" t="s">
        <v>185</v>
      </c>
    </row>
    <row r="4" customFormat="false" ht="15" hidden="false" customHeight="false" outlineLevel="0" collapsed="false">
      <c r="A4" s="5" t="s">
        <v>186</v>
      </c>
      <c r="B4" s="5" t="s">
        <v>187</v>
      </c>
      <c r="C4" s="5" t="s">
        <v>188</v>
      </c>
      <c r="D4" s="5" t="s">
        <v>178</v>
      </c>
      <c r="E4" s="5" t="s">
        <v>179</v>
      </c>
      <c r="F4" s="5" t="s">
        <v>189</v>
      </c>
    </row>
    <row r="5" customFormat="false" ht="15" hidden="false" customHeight="false" outlineLevel="0" collapsed="false">
      <c r="A5" s="5" t="s">
        <v>190</v>
      </c>
      <c r="B5" s="5" t="s">
        <v>191</v>
      </c>
      <c r="C5" s="5" t="s">
        <v>192</v>
      </c>
      <c r="D5" s="5" t="s">
        <v>178</v>
      </c>
      <c r="E5" s="5" t="s">
        <v>193</v>
      </c>
      <c r="F5" s="5" t="s">
        <v>194</v>
      </c>
    </row>
    <row r="6" customFormat="false" ht="15" hidden="false" customHeight="false" outlineLevel="0" collapsed="false">
      <c r="A6" s="5" t="s">
        <v>195</v>
      </c>
      <c r="B6" s="5" t="s">
        <v>196</v>
      </c>
      <c r="C6" s="5" t="s">
        <v>197</v>
      </c>
      <c r="D6" s="5" t="s">
        <v>178</v>
      </c>
      <c r="E6" s="5" t="s">
        <v>179</v>
      </c>
      <c r="F6" s="5" t="s">
        <v>198</v>
      </c>
    </row>
    <row r="7" customFormat="false" ht="15" hidden="false" customHeight="false" outlineLevel="0" collapsed="false">
      <c r="A7" s="5" t="s">
        <v>199</v>
      </c>
      <c r="B7" s="5" t="s">
        <v>200</v>
      </c>
      <c r="C7" s="5" t="s">
        <v>201</v>
      </c>
      <c r="D7" s="5" t="s">
        <v>178</v>
      </c>
      <c r="E7" s="5" t="s">
        <v>184</v>
      </c>
      <c r="F7" s="5" t="s">
        <v>202</v>
      </c>
    </row>
    <row r="8" customFormat="false" ht="15" hidden="false" customHeight="false" outlineLevel="0" collapsed="false">
      <c r="A8" s="5" t="s">
        <v>203</v>
      </c>
      <c r="B8" s="5" t="s">
        <v>204</v>
      </c>
      <c r="C8" s="5" t="s">
        <v>205</v>
      </c>
      <c r="D8" s="5" t="s">
        <v>178</v>
      </c>
      <c r="E8" s="5" t="s">
        <v>179</v>
      </c>
      <c r="F8" s="5" t="s">
        <v>206</v>
      </c>
    </row>
    <row r="9" customFormat="false" ht="15" hidden="false" customHeight="false" outlineLevel="0" collapsed="false">
      <c r="A9" s="5" t="s">
        <v>207</v>
      </c>
      <c r="B9" s="5" t="s">
        <v>208</v>
      </c>
      <c r="C9" s="5" t="s">
        <v>209</v>
      </c>
      <c r="D9" s="5" t="s">
        <v>178</v>
      </c>
      <c r="E9" s="5" t="s">
        <v>179</v>
      </c>
      <c r="F9" s="5" t="s">
        <v>210</v>
      </c>
    </row>
    <row r="10" customFormat="false" ht="15" hidden="false" customHeight="false" outlineLevel="0" collapsed="false">
      <c r="A10" s="5" t="s">
        <v>211</v>
      </c>
      <c r="B10" s="5" t="s">
        <v>212</v>
      </c>
      <c r="C10" s="5" t="s">
        <v>213</v>
      </c>
      <c r="D10" s="5" t="s">
        <v>178</v>
      </c>
      <c r="E10" s="5" t="s">
        <v>193</v>
      </c>
      <c r="F10" s="5" t="s">
        <v>214</v>
      </c>
    </row>
    <row r="11" customFormat="false" ht="15" hidden="false" customHeight="false" outlineLevel="0" collapsed="false">
      <c r="A11" s="5" t="s">
        <v>215</v>
      </c>
      <c r="B11" s="5" t="s">
        <v>216</v>
      </c>
      <c r="C11" s="5" t="s">
        <v>217</v>
      </c>
      <c r="D11" s="5" t="s">
        <v>178</v>
      </c>
      <c r="E11" s="5" t="s">
        <v>184</v>
      </c>
      <c r="F11" s="5" t="s">
        <v>218</v>
      </c>
    </row>
    <row r="12" customFormat="false" ht="15" hidden="false" customHeight="false" outlineLevel="0" collapsed="false">
      <c r="A12" s="5" t="s">
        <v>219</v>
      </c>
      <c r="B12" s="5" t="s">
        <v>220</v>
      </c>
      <c r="C12" s="5" t="s">
        <v>221</v>
      </c>
      <c r="D12" s="5" t="s">
        <v>178</v>
      </c>
      <c r="E12" s="5" t="s">
        <v>179</v>
      </c>
      <c r="F12" s="5" t="s">
        <v>222</v>
      </c>
    </row>
    <row r="13" customFormat="false" ht="15" hidden="false" customHeight="false" outlineLevel="0" collapsed="false">
      <c r="A13" s="5" t="s">
        <v>223</v>
      </c>
      <c r="B13" s="5" t="s">
        <v>224</v>
      </c>
      <c r="C13" s="5" t="s">
        <v>225</v>
      </c>
      <c r="D13" s="5" t="s">
        <v>178</v>
      </c>
      <c r="E13" s="5" t="s">
        <v>179</v>
      </c>
      <c r="F13" s="5" t="s">
        <v>226</v>
      </c>
    </row>
    <row r="14" customFormat="false" ht="15" hidden="false" customHeight="false" outlineLevel="0" collapsed="false">
      <c r="A14" s="5" t="s">
        <v>227</v>
      </c>
      <c r="B14" s="5" t="s">
        <v>38</v>
      </c>
      <c r="C14" s="5" t="s">
        <v>228</v>
      </c>
      <c r="D14" s="5" t="s">
        <v>178</v>
      </c>
      <c r="E14" s="5" t="s">
        <v>179</v>
      </c>
      <c r="F14" s="5" t="s">
        <v>229</v>
      </c>
    </row>
    <row r="15" customFormat="false" ht="15" hidden="false" customHeight="false" outlineLevel="0" collapsed="false">
      <c r="A15" s="5" t="s">
        <v>230</v>
      </c>
      <c r="B15" s="5" t="s">
        <v>89</v>
      </c>
      <c r="C15" s="5" t="s">
        <v>231</v>
      </c>
      <c r="D15" s="5" t="s">
        <v>178</v>
      </c>
      <c r="E15" s="5" t="s">
        <v>184</v>
      </c>
      <c r="F15" s="5" t="s">
        <v>232</v>
      </c>
    </row>
    <row r="16" customFormat="false" ht="15" hidden="false" customHeight="false" outlineLevel="0" collapsed="false">
      <c r="A16" s="5" t="s">
        <v>233</v>
      </c>
      <c r="B16" s="5" t="s">
        <v>29</v>
      </c>
      <c r="C16" s="5" t="s">
        <v>33</v>
      </c>
      <c r="D16" s="5" t="s">
        <v>32</v>
      </c>
      <c r="E16" s="5" t="s">
        <v>179</v>
      </c>
      <c r="F16" s="5" t="s">
        <v>234</v>
      </c>
    </row>
    <row r="17" customFormat="false" ht="15" hidden="false" customHeight="false" outlineLevel="0" collapsed="false">
      <c r="A17" s="5" t="s">
        <v>235</v>
      </c>
      <c r="B17" s="5" t="s">
        <v>236</v>
      </c>
      <c r="C17" s="5" t="s">
        <v>72</v>
      </c>
      <c r="D17" s="5" t="s">
        <v>71</v>
      </c>
      <c r="E17" s="5" t="s">
        <v>179</v>
      </c>
      <c r="F17" s="5" t="s">
        <v>237</v>
      </c>
    </row>
    <row r="18" customFormat="false" ht="15" hidden="false" customHeight="false" outlineLevel="0" collapsed="false">
      <c r="A18" s="5" t="s">
        <v>238</v>
      </c>
      <c r="B18" s="5" t="s">
        <v>239</v>
      </c>
      <c r="C18" s="5"/>
      <c r="D18" s="5" t="s">
        <v>40</v>
      </c>
      <c r="E18" s="5" t="s">
        <v>193</v>
      </c>
      <c r="F18" s="5" t="s">
        <v>240</v>
      </c>
    </row>
    <row r="19" customFormat="false" ht="15" hidden="false" customHeight="false" outlineLevel="0" collapsed="false">
      <c r="A19" s="5" t="s">
        <v>241</v>
      </c>
      <c r="B19" s="5" t="s">
        <v>242</v>
      </c>
      <c r="C19" s="5" t="s">
        <v>65</v>
      </c>
      <c r="D19" s="5" t="s">
        <v>64</v>
      </c>
      <c r="E19" s="5" t="s">
        <v>179</v>
      </c>
      <c r="F19" s="5" t="s">
        <v>243</v>
      </c>
    </row>
    <row r="20" customFormat="false" ht="15" hidden="false" customHeight="false" outlineLevel="0" collapsed="false">
      <c r="A20" s="5" t="s">
        <v>244</v>
      </c>
      <c r="B20" s="5" t="s">
        <v>245</v>
      </c>
      <c r="C20" s="5" t="s">
        <v>123</v>
      </c>
      <c r="D20" s="5" t="s">
        <v>40</v>
      </c>
      <c r="E20" s="5" t="s">
        <v>179</v>
      </c>
      <c r="F20" s="5" t="s">
        <v>246</v>
      </c>
    </row>
    <row r="21" customFormat="false" ht="15" hidden="false" customHeight="false" outlineLevel="0" collapsed="false">
      <c r="A21" s="5" t="s">
        <v>247</v>
      </c>
      <c r="B21" s="5" t="s">
        <v>248</v>
      </c>
      <c r="C21" s="5" t="s">
        <v>134</v>
      </c>
      <c r="D21" s="5" t="s">
        <v>133</v>
      </c>
      <c r="E21" s="5" t="s">
        <v>179</v>
      </c>
      <c r="F21" s="5" t="s">
        <v>249</v>
      </c>
    </row>
    <row r="22" customFormat="false" ht="15" hidden="false" customHeight="false" outlineLevel="0" collapsed="false">
      <c r="A22" s="5" t="s">
        <v>250</v>
      </c>
      <c r="B22" s="5" t="s">
        <v>97</v>
      </c>
      <c r="C22" s="5" t="s">
        <v>99</v>
      </c>
      <c r="D22" s="5" t="s">
        <v>98</v>
      </c>
      <c r="E22" s="5" t="s">
        <v>193</v>
      </c>
      <c r="F22" s="5" t="s">
        <v>251</v>
      </c>
    </row>
    <row r="23" customFormat="false" ht="15" hidden="false" customHeight="false" outlineLevel="0" collapsed="false">
      <c r="A23" s="5" t="s">
        <v>252</v>
      </c>
      <c r="B23" s="5" t="s">
        <v>103</v>
      </c>
      <c r="C23" s="5" t="s">
        <v>105</v>
      </c>
      <c r="D23" s="5" t="s">
        <v>104</v>
      </c>
      <c r="E23" s="5" t="s">
        <v>179</v>
      </c>
      <c r="F23" s="5" t="s">
        <v>253</v>
      </c>
    </row>
    <row r="24" customFormat="false" ht="15" hidden="false" customHeight="false" outlineLevel="0" collapsed="false">
      <c r="A24" s="5" t="s">
        <v>254</v>
      </c>
      <c r="B24" s="5" t="s">
        <v>153</v>
      </c>
      <c r="C24" s="5" t="s">
        <v>155</v>
      </c>
      <c r="D24" s="5" t="s">
        <v>154</v>
      </c>
      <c r="E24" s="5" t="s">
        <v>193</v>
      </c>
      <c r="F24" s="5" t="s">
        <v>255</v>
      </c>
    </row>
    <row r="25" customFormat="false" ht="15" hidden="false" customHeight="false" outlineLevel="0" collapsed="false">
      <c r="A25" s="5" t="s">
        <v>256</v>
      </c>
      <c r="B25" s="5" t="s">
        <v>257</v>
      </c>
      <c r="C25" s="5" t="s">
        <v>258</v>
      </c>
      <c r="D25" s="5" t="s">
        <v>178</v>
      </c>
      <c r="E25" s="5" t="s">
        <v>179</v>
      </c>
      <c r="F25" s="5" t="s">
        <v>259</v>
      </c>
    </row>
    <row r="26" customFormat="false" ht="15" hidden="false" customHeight="false" outlineLevel="0" collapsed="false">
      <c r="A26" s="5" t="s">
        <v>260</v>
      </c>
      <c r="B26" s="5" t="s">
        <v>261</v>
      </c>
      <c r="C26" s="5" t="s">
        <v>262</v>
      </c>
      <c r="D26" s="5" t="s">
        <v>178</v>
      </c>
      <c r="E26" s="5" t="s">
        <v>184</v>
      </c>
      <c r="F26" s="5" t="s">
        <v>263</v>
      </c>
    </row>
    <row r="27" customFormat="false" ht="15" hidden="false" customHeight="false" outlineLevel="0" collapsed="false">
      <c r="A27" s="5" t="s">
        <v>264</v>
      </c>
      <c r="B27" s="5" t="s">
        <v>265</v>
      </c>
      <c r="C27" s="5" t="s">
        <v>266</v>
      </c>
      <c r="D27" s="5" t="s">
        <v>178</v>
      </c>
      <c r="E27" s="5" t="s">
        <v>179</v>
      </c>
      <c r="F27" s="5" t="s">
        <v>267</v>
      </c>
    </row>
    <row r="28" customFormat="false" ht="15" hidden="false" customHeight="false" outlineLevel="0" collapsed="false">
      <c r="A28" s="5" t="s">
        <v>268</v>
      </c>
      <c r="B28" s="5" t="s">
        <v>269</v>
      </c>
      <c r="C28" s="5" t="s">
        <v>270</v>
      </c>
      <c r="D28" s="5" t="s">
        <v>178</v>
      </c>
      <c r="E28" s="5" t="s">
        <v>179</v>
      </c>
      <c r="F28" s="5" t="s">
        <v>271</v>
      </c>
    </row>
    <row r="29" customFormat="false" ht="15" hidden="false" customHeight="false" outlineLevel="0" collapsed="false">
      <c r="A29" s="5" t="s">
        <v>272</v>
      </c>
      <c r="B29" s="5" t="s">
        <v>273</v>
      </c>
      <c r="C29" s="5" t="s">
        <v>274</v>
      </c>
      <c r="D29" s="5" t="s">
        <v>178</v>
      </c>
      <c r="E29" s="5" t="s">
        <v>179</v>
      </c>
      <c r="F29" s="5" t="s">
        <v>275</v>
      </c>
    </row>
    <row r="30" customFormat="false" ht="15" hidden="false" customHeight="false" outlineLevel="0" collapsed="false">
      <c r="A30" s="5" t="s">
        <v>276</v>
      </c>
      <c r="B30" s="5" t="s">
        <v>277</v>
      </c>
      <c r="C30" s="5" t="s">
        <v>278</v>
      </c>
      <c r="D30" s="5" t="s">
        <v>178</v>
      </c>
      <c r="E30" s="5" t="s">
        <v>193</v>
      </c>
      <c r="F30" s="5" t="s">
        <v>279</v>
      </c>
    </row>
    <row r="31" customFormat="false" ht="15" hidden="false" customHeight="false" outlineLevel="0" collapsed="false">
      <c r="A31" s="5" t="s">
        <v>280</v>
      </c>
      <c r="B31" s="5" t="s">
        <v>281</v>
      </c>
      <c r="C31" s="5" t="s">
        <v>282</v>
      </c>
      <c r="D31" s="5" t="s">
        <v>178</v>
      </c>
      <c r="E31" s="5" t="s">
        <v>179</v>
      </c>
      <c r="F31" s="5" t="s">
        <v>283</v>
      </c>
    </row>
  </sheetData>
  <autoFilter ref="A1:F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12"/>
    <col collapsed="false" customWidth="true" hidden="false" outlineLevel="0" max="4" min="4" style="1" width="9"/>
    <col collapsed="false" customWidth="true" hidden="false" outlineLevel="0" max="5" min="5" style="1" width="12"/>
    <col collapsed="false" customWidth="true" hidden="false" outlineLevel="0" max="6" min="6" style="1" width="14"/>
    <col collapsed="false" customWidth="true" hidden="false" outlineLevel="0" max="7" min="7" style="1" width="11"/>
    <col collapsed="false" customWidth="true" hidden="false" outlineLevel="0" max="8" min="8" style="1" width="10"/>
    <col collapsed="false" customWidth="true" hidden="false" outlineLevel="0" max="10" min="9" style="1" width="11"/>
    <col collapsed="false" customWidth="true" hidden="false" outlineLevel="0" max="11" min="11" style="1" width="26"/>
    <col collapsed="false" customWidth="true" hidden="false" outlineLevel="0" max="12" min="12" style="1" width="22"/>
    <col collapsed="false" customWidth="true" hidden="false" outlineLevel="0" max="13" min="13" style="1" width="26"/>
    <col collapsed="false" customWidth="true" hidden="false" outlineLevel="0" max="14" min="14" style="1" width="34"/>
  </cols>
  <sheetData>
    <row r="1" customFormat="false" ht="57.45" hidden="false" customHeight="false" outlineLevel="0" collapsed="false">
      <c r="A1" s="4" t="s">
        <v>171</v>
      </c>
      <c r="B1" s="4" t="s">
        <v>172</v>
      </c>
      <c r="C1" s="4" t="s">
        <v>24</v>
      </c>
      <c r="D1" s="4" t="s">
        <v>23</v>
      </c>
      <c r="E1" s="4" t="s">
        <v>284</v>
      </c>
      <c r="F1" s="4" t="s">
        <v>285</v>
      </c>
      <c r="G1" s="4" t="s">
        <v>286</v>
      </c>
      <c r="H1" s="4" t="s">
        <v>287</v>
      </c>
      <c r="I1" s="4" t="s">
        <v>288</v>
      </c>
      <c r="J1" s="4" t="s">
        <v>289</v>
      </c>
      <c r="K1" s="4" t="s">
        <v>290</v>
      </c>
      <c r="L1" s="4" t="s">
        <v>291</v>
      </c>
      <c r="M1" s="4" t="s">
        <v>292</v>
      </c>
      <c r="N1" s="4" t="s">
        <v>293</v>
      </c>
    </row>
    <row r="2" customFormat="false" ht="15" hidden="false" customHeight="false" outlineLevel="0" collapsed="false">
      <c r="A2" s="5" t="s">
        <v>175</v>
      </c>
      <c r="B2" s="5" t="s">
        <v>176</v>
      </c>
      <c r="C2" s="5" t="s">
        <v>177</v>
      </c>
      <c r="D2" s="5" t="s">
        <v>178</v>
      </c>
      <c r="E2" s="5" t="str">
        <f aca="false">TRIM(LEFT(B2,FIND(" ",B2&amp;" ")-1))</f>
        <v>James</v>
      </c>
      <c r="F2" s="5" t="str">
        <f aca="false">TRIM(MID(B2,FIND(" ",B2&amp;" ")+1,255))</f>
        <v>Whitfield</v>
      </c>
      <c r="G2" s="5" t="n">
        <f aca="false">SUMPRODUCT(--(UPPER(TRIM(Sanctions_PEP_List!$B$2:$B$26))=UPPER(TRIM(B2))))</f>
        <v>0</v>
      </c>
      <c r="H2" s="5" t="n">
        <f aca="false">SUMPRODUCT(--ISNUMBER(SEARCH(UPPER(TRIM(B2)),UPPER(Sanctions_PEP_List!$C$2:$C$26))))</f>
        <v>0</v>
      </c>
      <c r="I2" s="5" t="n">
        <f aca="false">SUMPRODUCT(ISNUMBER(SEARCH(UPPER(E2),UPPER(Sanctions_PEP_List!$B$2:$B$26)))*IF(F2&lt;&gt;"",ISNUMBER(SEARCH(UPPER(F2),UPPER(Sanctions_PEP_List!$B$2:$B$26))),1))</f>
        <v>0</v>
      </c>
      <c r="J2" s="5" t="n">
        <f aca="false">SUMPRODUCT((UPPER(TRIM(Sanctions_PEP_List!$B$2:$B$26))=UPPER(TRIM(B2)))*(((Sanctions_PEP_List!$F$2:$F$26&lt;&gt;"")*(C2&lt;&gt;"")*(Sanctions_PEP_List!$F$2:$F$26=C2))+(Sanctions_PEP_List!$E$2:$E$26=D2)))</f>
        <v>0</v>
      </c>
      <c r="K2" s="5" t="str">
        <f aca="false" t="array" ref="K2:K2">_xlfn.TEXTJOIN(", ",TRUE(),IF((UPPER(TRIM(Sanctions_PEP_List!$B$2:$B$26))=UPPER(TRIM(B2)))+(ISNUMBER(SEARCH(UPPER(TRIM(B2)),UPPER(Sanctions_PEP_List!$C$2:$C$26))))&gt;0,Sanctions_PEP_List!$B$2:$B$26,""))</f>
        <v/>
      </c>
      <c r="L2" s="5" t="str">
        <f aca="false" t="array" ref="L2:L2">_xlfn.TEXTJOIN(", ",TRUE(),IF((UPPER(TRIM(Sanctions_PEP_List!$B$2:$B$26))=UPPER(TRIM(B2)))+(ISNUMBER(SEARCH(UPPER(TRIM(B2)),UPPER(Sanctions_PEP_List!$C$2:$C$26))))&gt;0,Sanctions_PEP_List!$G$2:$G$26,""))</f>
        <v/>
      </c>
      <c r="M2" s="5" t="str">
        <f aca="false" t="array" ref="M2:M2">_xlfn.TEXTJOIN(", ",TRUE(),IF(ISNUMBER(SEARCH(UPPER(E2),UPPER(Sanctions_PEP_List!$B$2:$B$26)))*IF(F2&lt;&gt;"",ISNUMBER(SEARCH(UPPER(F2),UPPER(Sanctions_PEP_List!$B$2:$B$26))),1)&gt;0,Sanctions_PEP_List!$B$2:$B$26,""))</f>
        <v/>
      </c>
      <c r="N2" s="5" t="str">
        <f aca="false">IF(G2&gt;0,"CONFIRMED NAME MATCH - escalate for identity verification",IF(H2&gt;0,"ALIAS MATCH - escalate for identity verification",IF(I2&gt;=1,"POSSIBLE MATCH (partial name) - manual review","CLEAR")))</f>
        <v>CLEAR</v>
      </c>
    </row>
    <row r="3" customFormat="false" ht="15" hidden="false" customHeight="false" outlineLevel="0" collapsed="false">
      <c r="A3" s="5" t="s">
        <v>181</v>
      </c>
      <c r="B3" s="5" t="s">
        <v>182</v>
      </c>
      <c r="C3" s="5" t="s">
        <v>183</v>
      </c>
      <c r="D3" s="5" t="s">
        <v>178</v>
      </c>
      <c r="E3" s="5" t="str">
        <f aca="false">TRIM(LEFT(B3,FIND(" ",B3&amp;" ")-1))</f>
        <v>Maria</v>
      </c>
      <c r="F3" s="5" t="str">
        <f aca="false">TRIM(MID(B3,FIND(" ",B3&amp;" ")+1,255))</f>
        <v>Lopez</v>
      </c>
      <c r="G3" s="5" t="n">
        <f aca="false">SUMPRODUCT(--(UPPER(TRIM(Sanctions_PEP_List!$B$2:$B$26))=UPPER(TRIM(B3))))</f>
        <v>0</v>
      </c>
      <c r="H3" s="5" t="n">
        <f aca="false">SUMPRODUCT(--ISNUMBER(SEARCH(UPPER(TRIM(B3)),UPPER(Sanctions_PEP_List!$C$2:$C$26))))</f>
        <v>0</v>
      </c>
      <c r="I3" s="5" t="n">
        <f aca="false">SUMPRODUCT(ISNUMBER(SEARCH(UPPER(E3),UPPER(Sanctions_PEP_List!$B$2:$B$26)))*IF(F3&lt;&gt;"",ISNUMBER(SEARCH(UPPER(F3),UPPER(Sanctions_PEP_List!$B$2:$B$26))),1))</f>
        <v>0</v>
      </c>
      <c r="J3" s="5" t="n">
        <f aca="false">SUMPRODUCT((UPPER(TRIM(Sanctions_PEP_List!$B$2:$B$26))=UPPER(TRIM(B3)))*(((Sanctions_PEP_List!$F$2:$F$26&lt;&gt;"")*(C3&lt;&gt;"")*(Sanctions_PEP_List!$F$2:$F$26=C3))+(Sanctions_PEP_List!$E$2:$E$26=D3)))</f>
        <v>0</v>
      </c>
      <c r="K3" s="5" t="str">
        <f aca="false" t="array" ref="K3:K3">_xlfn.TEXTJOIN(", ",TRUE(),IF((UPPER(TRIM(Sanctions_PEP_List!$B$2:$B$26))=UPPER(TRIM(B3)))+(ISNUMBER(SEARCH(UPPER(TRIM(B3)),UPPER(Sanctions_PEP_List!$C$2:$C$26))))&gt;0,Sanctions_PEP_List!$B$2:$B$26,""))</f>
        <v/>
      </c>
      <c r="L3" s="5" t="str">
        <f aca="false" t="array" ref="L3:L3">_xlfn.TEXTJOIN(", ",TRUE(),IF((UPPER(TRIM(Sanctions_PEP_List!$B$2:$B$26))=UPPER(TRIM(B3)))+(ISNUMBER(SEARCH(UPPER(TRIM(B3)),UPPER(Sanctions_PEP_List!$C$2:$C$26))))&gt;0,Sanctions_PEP_List!$G$2:$G$26,""))</f>
        <v/>
      </c>
      <c r="M3" s="5" t="str">
        <f aca="false" t="array" ref="M3:M3">_xlfn.TEXTJOIN(", ",TRUE(),IF(ISNUMBER(SEARCH(UPPER(E3),UPPER(Sanctions_PEP_List!$B$2:$B$26)))*IF(F3&lt;&gt;"",ISNUMBER(SEARCH(UPPER(F3),UPPER(Sanctions_PEP_List!$B$2:$B$26))),1)&gt;0,Sanctions_PEP_List!$B$2:$B$26,""))</f>
        <v/>
      </c>
      <c r="N3" s="5" t="str">
        <f aca="false">IF(G3&gt;0,"CONFIRMED NAME MATCH - escalate for identity verification",IF(H3&gt;0,"ALIAS MATCH - escalate for identity verification",IF(I3&gt;=1,"POSSIBLE MATCH (partial name) - manual review","CLEAR")))</f>
        <v>CLEAR</v>
      </c>
    </row>
    <row r="4" customFormat="false" ht="15" hidden="false" customHeight="false" outlineLevel="0" collapsed="false">
      <c r="A4" s="5" t="s">
        <v>186</v>
      </c>
      <c r="B4" s="5" t="s">
        <v>187</v>
      </c>
      <c r="C4" s="5" t="s">
        <v>188</v>
      </c>
      <c r="D4" s="5" t="s">
        <v>178</v>
      </c>
      <c r="E4" s="5" t="str">
        <f aca="false">TRIM(LEFT(B4,FIND(" ",B4&amp;" ")-1))</f>
        <v>Wei</v>
      </c>
      <c r="F4" s="5" t="str">
        <f aca="false">TRIM(MID(B4,FIND(" ",B4&amp;" ")+1,255))</f>
        <v>Chen</v>
      </c>
      <c r="G4" s="5" t="n">
        <f aca="false">SUMPRODUCT(--(UPPER(TRIM(Sanctions_PEP_List!$B$2:$B$26))=UPPER(TRIM(B4))))</f>
        <v>0</v>
      </c>
      <c r="H4" s="5" t="n">
        <f aca="false">SUMPRODUCT(--ISNUMBER(SEARCH(UPPER(TRIM(B4)),UPPER(Sanctions_PEP_List!$C$2:$C$26))))</f>
        <v>0</v>
      </c>
      <c r="I4" s="5" t="n">
        <f aca="false">SUMPRODUCT(ISNUMBER(SEARCH(UPPER(E4),UPPER(Sanctions_PEP_List!$B$2:$B$26)))*IF(F4&lt;&gt;"",ISNUMBER(SEARCH(UPPER(F4),UPPER(Sanctions_PEP_List!$B$2:$B$26))),1))</f>
        <v>0</v>
      </c>
      <c r="J4" s="5" t="n">
        <f aca="false">SUMPRODUCT((UPPER(TRIM(Sanctions_PEP_List!$B$2:$B$26))=UPPER(TRIM(B4)))*(((Sanctions_PEP_List!$F$2:$F$26&lt;&gt;"")*(C4&lt;&gt;"")*(Sanctions_PEP_List!$F$2:$F$26=C4))+(Sanctions_PEP_List!$E$2:$E$26=D4)))</f>
        <v>0</v>
      </c>
      <c r="K4" s="5" t="str">
        <f aca="false" t="array" ref="K4:K4">_xlfn.TEXTJOIN(", ",TRUE(),IF((UPPER(TRIM(Sanctions_PEP_List!$B$2:$B$26))=UPPER(TRIM(B4)))+(ISNUMBER(SEARCH(UPPER(TRIM(B4)),UPPER(Sanctions_PEP_List!$C$2:$C$26))))&gt;0,Sanctions_PEP_List!$B$2:$B$26,""))</f>
        <v/>
      </c>
      <c r="L4" s="5" t="str">
        <f aca="false" t="array" ref="L4:L4">_xlfn.TEXTJOIN(", ",TRUE(),IF((UPPER(TRIM(Sanctions_PEP_List!$B$2:$B$26))=UPPER(TRIM(B4)))+(ISNUMBER(SEARCH(UPPER(TRIM(B4)),UPPER(Sanctions_PEP_List!$C$2:$C$26))))&gt;0,Sanctions_PEP_List!$G$2:$G$26,""))</f>
        <v/>
      </c>
      <c r="M4" s="5" t="str">
        <f aca="false" t="array" ref="M4:M4">_xlfn.TEXTJOIN(", ",TRUE(),IF(ISNUMBER(SEARCH(UPPER(E4),UPPER(Sanctions_PEP_List!$B$2:$B$26)))*IF(F4&lt;&gt;"",ISNUMBER(SEARCH(UPPER(F4),UPPER(Sanctions_PEP_List!$B$2:$B$26))),1)&gt;0,Sanctions_PEP_List!$B$2:$B$26,""))</f>
        <v/>
      </c>
      <c r="N4" s="5" t="str">
        <f aca="false">IF(G4&gt;0,"CONFIRMED NAME MATCH - escalate for identity verification",IF(H4&gt;0,"ALIAS MATCH - escalate for identity verification",IF(I4&gt;=1,"POSSIBLE MATCH (partial name) - manual review","CLEAR")))</f>
        <v>CLEAR</v>
      </c>
    </row>
    <row r="5" customFormat="false" ht="15" hidden="false" customHeight="false" outlineLevel="0" collapsed="false">
      <c r="A5" s="5" t="s">
        <v>190</v>
      </c>
      <c r="B5" s="5" t="s">
        <v>191</v>
      </c>
      <c r="C5" s="5" t="s">
        <v>192</v>
      </c>
      <c r="D5" s="5" t="s">
        <v>178</v>
      </c>
      <c r="E5" s="5" t="str">
        <f aca="false">TRIM(LEFT(B5,FIND(" ",B5&amp;" ")-1))</f>
        <v>Sarah</v>
      </c>
      <c r="F5" s="5" t="str">
        <f aca="false">TRIM(MID(B5,FIND(" ",B5&amp;" ")+1,255))</f>
        <v>Johnson</v>
      </c>
      <c r="G5" s="5" t="n">
        <f aca="false">SUMPRODUCT(--(UPPER(TRIM(Sanctions_PEP_List!$B$2:$B$26))=UPPER(TRIM(B5))))</f>
        <v>0</v>
      </c>
      <c r="H5" s="5" t="n">
        <f aca="false">SUMPRODUCT(--ISNUMBER(SEARCH(UPPER(TRIM(B5)),UPPER(Sanctions_PEP_List!$C$2:$C$26))))</f>
        <v>0</v>
      </c>
      <c r="I5" s="5" t="n">
        <f aca="false">SUMPRODUCT(ISNUMBER(SEARCH(UPPER(E5),UPPER(Sanctions_PEP_List!$B$2:$B$26)))*IF(F5&lt;&gt;"",ISNUMBER(SEARCH(UPPER(F5),UPPER(Sanctions_PEP_List!$B$2:$B$26))),1))</f>
        <v>0</v>
      </c>
      <c r="J5" s="5" t="n">
        <f aca="false">SUMPRODUCT((UPPER(TRIM(Sanctions_PEP_List!$B$2:$B$26))=UPPER(TRIM(B5)))*(((Sanctions_PEP_List!$F$2:$F$26&lt;&gt;"")*(C5&lt;&gt;"")*(Sanctions_PEP_List!$F$2:$F$26=C5))+(Sanctions_PEP_List!$E$2:$E$26=D5)))</f>
        <v>0</v>
      </c>
      <c r="K5" s="5" t="str">
        <f aca="false" t="array" ref="K5:K5">_xlfn.TEXTJOIN(", ",TRUE(),IF((UPPER(TRIM(Sanctions_PEP_List!$B$2:$B$26))=UPPER(TRIM(B5)))+(ISNUMBER(SEARCH(UPPER(TRIM(B5)),UPPER(Sanctions_PEP_List!$C$2:$C$26))))&gt;0,Sanctions_PEP_List!$B$2:$B$26,""))</f>
        <v/>
      </c>
      <c r="L5" s="5" t="str">
        <f aca="false" t="array" ref="L5:L5">_xlfn.TEXTJOIN(", ",TRUE(),IF((UPPER(TRIM(Sanctions_PEP_List!$B$2:$B$26))=UPPER(TRIM(B5)))+(ISNUMBER(SEARCH(UPPER(TRIM(B5)),UPPER(Sanctions_PEP_List!$C$2:$C$26))))&gt;0,Sanctions_PEP_List!$G$2:$G$26,""))</f>
        <v/>
      </c>
      <c r="M5" s="5" t="str">
        <f aca="false" t="array" ref="M5:M5">_xlfn.TEXTJOIN(", ",TRUE(),IF(ISNUMBER(SEARCH(UPPER(E5),UPPER(Sanctions_PEP_List!$B$2:$B$26)))*IF(F5&lt;&gt;"",ISNUMBER(SEARCH(UPPER(F5),UPPER(Sanctions_PEP_List!$B$2:$B$26))),1)&gt;0,Sanctions_PEP_List!$B$2:$B$26,""))</f>
        <v/>
      </c>
      <c r="N5" s="5" t="str">
        <f aca="false">IF(G5&gt;0,"CONFIRMED NAME MATCH - escalate for identity verification",IF(H5&gt;0,"ALIAS MATCH - escalate for identity verification",IF(I5&gt;=1,"POSSIBLE MATCH (partial name) - manual review","CLEAR")))</f>
        <v>CLEAR</v>
      </c>
    </row>
    <row r="6" customFormat="false" ht="15" hidden="false" customHeight="false" outlineLevel="0" collapsed="false">
      <c r="A6" s="5" t="s">
        <v>195</v>
      </c>
      <c r="B6" s="5" t="s">
        <v>196</v>
      </c>
      <c r="C6" s="5" t="s">
        <v>197</v>
      </c>
      <c r="D6" s="5" t="s">
        <v>178</v>
      </c>
      <c r="E6" s="5" t="str">
        <f aca="false">TRIM(LEFT(B6,FIND(" ",B6&amp;" ")-1))</f>
        <v>David</v>
      </c>
      <c r="F6" s="5" t="str">
        <f aca="false">TRIM(MID(B6,FIND(" ",B6&amp;" ")+1,255))</f>
        <v>Okafor</v>
      </c>
      <c r="G6" s="5" t="n">
        <f aca="false">SUMPRODUCT(--(UPPER(TRIM(Sanctions_PEP_List!$B$2:$B$26))=UPPER(TRIM(B6))))</f>
        <v>0</v>
      </c>
      <c r="H6" s="5" t="n">
        <f aca="false">SUMPRODUCT(--ISNUMBER(SEARCH(UPPER(TRIM(B6)),UPPER(Sanctions_PEP_List!$C$2:$C$26))))</f>
        <v>0</v>
      </c>
      <c r="I6" s="5" t="n">
        <f aca="false">SUMPRODUCT(ISNUMBER(SEARCH(UPPER(E6),UPPER(Sanctions_PEP_List!$B$2:$B$26)))*IF(F6&lt;&gt;"",ISNUMBER(SEARCH(UPPER(F6),UPPER(Sanctions_PEP_List!$B$2:$B$26))),1))</f>
        <v>0</v>
      </c>
      <c r="J6" s="5" t="n">
        <f aca="false">SUMPRODUCT((UPPER(TRIM(Sanctions_PEP_List!$B$2:$B$26))=UPPER(TRIM(B6)))*(((Sanctions_PEP_List!$F$2:$F$26&lt;&gt;"")*(C6&lt;&gt;"")*(Sanctions_PEP_List!$F$2:$F$26=C6))+(Sanctions_PEP_List!$E$2:$E$26=D6)))</f>
        <v>0</v>
      </c>
      <c r="K6" s="5" t="str">
        <f aca="false" t="array" ref="K6:K6">_xlfn.TEXTJOIN(", ",TRUE(),IF((UPPER(TRIM(Sanctions_PEP_List!$B$2:$B$26))=UPPER(TRIM(B6)))+(ISNUMBER(SEARCH(UPPER(TRIM(B6)),UPPER(Sanctions_PEP_List!$C$2:$C$26))))&gt;0,Sanctions_PEP_List!$B$2:$B$26,""))</f>
        <v/>
      </c>
      <c r="L6" s="5" t="str">
        <f aca="false" t="array" ref="L6:L6">_xlfn.TEXTJOIN(", ",TRUE(),IF((UPPER(TRIM(Sanctions_PEP_List!$B$2:$B$26))=UPPER(TRIM(B6)))+(ISNUMBER(SEARCH(UPPER(TRIM(B6)),UPPER(Sanctions_PEP_List!$C$2:$C$26))))&gt;0,Sanctions_PEP_List!$G$2:$G$26,""))</f>
        <v/>
      </c>
      <c r="M6" s="5" t="str">
        <f aca="false" t="array" ref="M6:M6">_xlfn.TEXTJOIN(", ",TRUE(),IF(ISNUMBER(SEARCH(UPPER(E6),UPPER(Sanctions_PEP_List!$B$2:$B$26)))*IF(F6&lt;&gt;"",ISNUMBER(SEARCH(UPPER(F6),UPPER(Sanctions_PEP_List!$B$2:$B$26))),1)&gt;0,Sanctions_PEP_List!$B$2:$B$26,""))</f>
        <v/>
      </c>
      <c r="N6" s="5" t="str">
        <f aca="false">IF(G6&gt;0,"CONFIRMED NAME MATCH - escalate for identity verification",IF(H6&gt;0,"ALIAS MATCH - escalate for identity verification",IF(I6&gt;=1,"POSSIBLE MATCH (partial name) - manual review","CLEAR")))</f>
        <v>CLEAR</v>
      </c>
    </row>
    <row r="7" customFormat="false" ht="15" hidden="false" customHeight="false" outlineLevel="0" collapsed="false">
      <c r="A7" s="5" t="s">
        <v>199</v>
      </c>
      <c r="B7" s="5" t="s">
        <v>200</v>
      </c>
      <c r="C7" s="5" t="s">
        <v>201</v>
      </c>
      <c r="D7" s="5" t="s">
        <v>178</v>
      </c>
      <c r="E7" s="5" t="str">
        <f aca="false">TRIM(LEFT(B7,FIND(" ",B7&amp;" ")-1))</f>
        <v>Priya</v>
      </c>
      <c r="F7" s="5" t="str">
        <f aca="false">TRIM(MID(B7,FIND(" ",B7&amp;" ")+1,255))</f>
        <v>Sharma</v>
      </c>
      <c r="G7" s="5" t="n">
        <f aca="false">SUMPRODUCT(--(UPPER(TRIM(Sanctions_PEP_List!$B$2:$B$26))=UPPER(TRIM(B7))))</f>
        <v>0</v>
      </c>
      <c r="H7" s="5" t="n">
        <f aca="false">SUMPRODUCT(--ISNUMBER(SEARCH(UPPER(TRIM(B7)),UPPER(Sanctions_PEP_List!$C$2:$C$26))))</f>
        <v>0</v>
      </c>
      <c r="I7" s="5" t="n">
        <f aca="false">SUMPRODUCT(ISNUMBER(SEARCH(UPPER(E7),UPPER(Sanctions_PEP_List!$B$2:$B$26)))*IF(F7&lt;&gt;"",ISNUMBER(SEARCH(UPPER(F7),UPPER(Sanctions_PEP_List!$B$2:$B$26))),1))</f>
        <v>0</v>
      </c>
      <c r="J7" s="5" t="n">
        <f aca="false">SUMPRODUCT((UPPER(TRIM(Sanctions_PEP_List!$B$2:$B$26))=UPPER(TRIM(B7)))*(((Sanctions_PEP_List!$F$2:$F$26&lt;&gt;"")*(C7&lt;&gt;"")*(Sanctions_PEP_List!$F$2:$F$26=C7))+(Sanctions_PEP_List!$E$2:$E$26=D7)))</f>
        <v>0</v>
      </c>
      <c r="K7" s="5" t="str">
        <f aca="false" t="array" ref="K7:K7">_xlfn.TEXTJOIN(", ",TRUE(),IF((UPPER(TRIM(Sanctions_PEP_List!$B$2:$B$26))=UPPER(TRIM(B7)))+(ISNUMBER(SEARCH(UPPER(TRIM(B7)),UPPER(Sanctions_PEP_List!$C$2:$C$26))))&gt;0,Sanctions_PEP_List!$B$2:$B$26,""))</f>
        <v/>
      </c>
      <c r="L7" s="5" t="str">
        <f aca="false" t="array" ref="L7:L7">_xlfn.TEXTJOIN(", ",TRUE(),IF((UPPER(TRIM(Sanctions_PEP_List!$B$2:$B$26))=UPPER(TRIM(B7)))+(ISNUMBER(SEARCH(UPPER(TRIM(B7)),UPPER(Sanctions_PEP_List!$C$2:$C$26))))&gt;0,Sanctions_PEP_List!$G$2:$G$26,""))</f>
        <v/>
      </c>
      <c r="M7" s="5" t="str">
        <f aca="false" t="array" ref="M7:M7">_xlfn.TEXTJOIN(", ",TRUE(),IF(ISNUMBER(SEARCH(UPPER(E7),UPPER(Sanctions_PEP_List!$B$2:$B$26)))*IF(F7&lt;&gt;"",ISNUMBER(SEARCH(UPPER(F7),UPPER(Sanctions_PEP_List!$B$2:$B$26))),1)&gt;0,Sanctions_PEP_List!$B$2:$B$26,""))</f>
        <v/>
      </c>
      <c r="N7" s="5" t="str">
        <f aca="false">IF(G7&gt;0,"CONFIRMED NAME MATCH - escalate for identity verification",IF(H7&gt;0,"ALIAS MATCH - escalate for identity verification",IF(I7&gt;=1,"POSSIBLE MATCH (partial name) - manual review","CLEAR")))</f>
        <v>CLEAR</v>
      </c>
    </row>
    <row r="8" customFormat="false" ht="15" hidden="false" customHeight="false" outlineLevel="0" collapsed="false">
      <c r="A8" s="5" t="s">
        <v>203</v>
      </c>
      <c r="B8" s="5" t="s">
        <v>204</v>
      </c>
      <c r="C8" s="5" t="s">
        <v>205</v>
      </c>
      <c r="D8" s="5" t="s">
        <v>178</v>
      </c>
      <c r="E8" s="5" t="str">
        <f aca="false">TRIM(LEFT(B8,FIND(" ",B8&amp;" ")-1))</f>
        <v>Thomas</v>
      </c>
      <c r="F8" s="5" t="str">
        <f aca="false">TRIM(MID(B8,FIND(" ",B8&amp;" ")+1,255))</f>
        <v>Nguyen</v>
      </c>
      <c r="G8" s="5" t="n">
        <f aca="false">SUMPRODUCT(--(UPPER(TRIM(Sanctions_PEP_List!$B$2:$B$26))=UPPER(TRIM(B8))))</f>
        <v>0</v>
      </c>
      <c r="H8" s="5" t="n">
        <f aca="false">SUMPRODUCT(--ISNUMBER(SEARCH(UPPER(TRIM(B8)),UPPER(Sanctions_PEP_List!$C$2:$C$26))))</f>
        <v>0</v>
      </c>
      <c r="I8" s="5" t="n">
        <f aca="false">SUMPRODUCT(ISNUMBER(SEARCH(UPPER(E8),UPPER(Sanctions_PEP_List!$B$2:$B$26)))*IF(F8&lt;&gt;"",ISNUMBER(SEARCH(UPPER(F8),UPPER(Sanctions_PEP_List!$B$2:$B$26))),1))</f>
        <v>0</v>
      </c>
      <c r="J8" s="5" t="n">
        <f aca="false">SUMPRODUCT((UPPER(TRIM(Sanctions_PEP_List!$B$2:$B$26))=UPPER(TRIM(B8)))*(((Sanctions_PEP_List!$F$2:$F$26&lt;&gt;"")*(C8&lt;&gt;"")*(Sanctions_PEP_List!$F$2:$F$26=C8))+(Sanctions_PEP_List!$E$2:$E$26=D8)))</f>
        <v>0</v>
      </c>
      <c r="K8" s="5" t="str">
        <f aca="false" t="array" ref="K8:K8">_xlfn.TEXTJOIN(", ",TRUE(),IF((UPPER(TRIM(Sanctions_PEP_List!$B$2:$B$26))=UPPER(TRIM(B8)))+(ISNUMBER(SEARCH(UPPER(TRIM(B8)),UPPER(Sanctions_PEP_List!$C$2:$C$26))))&gt;0,Sanctions_PEP_List!$B$2:$B$26,""))</f>
        <v/>
      </c>
      <c r="L8" s="5" t="str">
        <f aca="false" t="array" ref="L8:L8">_xlfn.TEXTJOIN(", ",TRUE(),IF((UPPER(TRIM(Sanctions_PEP_List!$B$2:$B$26))=UPPER(TRIM(B8)))+(ISNUMBER(SEARCH(UPPER(TRIM(B8)),UPPER(Sanctions_PEP_List!$C$2:$C$26))))&gt;0,Sanctions_PEP_List!$G$2:$G$26,""))</f>
        <v/>
      </c>
      <c r="M8" s="5" t="str">
        <f aca="false" t="array" ref="M8:M8">_xlfn.TEXTJOIN(", ",TRUE(),IF(ISNUMBER(SEARCH(UPPER(E8),UPPER(Sanctions_PEP_List!$B$2:$B$26)))*IF(F8&lt;&gt;"",ISNUMBER(SEARCH(UPPER(F8),UPPER(Sanctions_PEP_List!$B$2:$B$26))),1)&gt;0,Sanctions_PEP_List!$B$2:$B$26,""))</f>
        <v/>
      </c>
      <c r="N8" s="5" t="str">
        <f aca="false">IF(G8&gt;0,"CONFIRMED NAME MATCH - escalate for identity verification",IF(H8&gt;0,"ALIAS MATCH - escalate for identity verification",IF(I8&gt;=1,"POSSIBLE MATCH (partial name) - manual review","CLEAR")))</f>
        <v>CLEAR</v>
      </c>
    </row>
    <row r="9" customFormat="false" ht="15" hidden="false" customHeight="false" outlineLevel="0" collapsed="false">
      <c r="A9" s="5" t="s">
        <v>207</v>
      </c>
      <c r="B9" s="5" t="s">
        <v>208</v>
      </c>
      <c r="C9" s="5" t="s">
        <v>209</v>
      </c>
      <c r="D9" s="5" t="s">
        <v>178</v>
      </c>
      <c r="E9" s="5" t="str">
        <f aca="false">TRIM(LEFT(B9,FIND(" ",B9&amp;" ")-1))</f>
        <v>Emily</v>
      </c>
      <c r="F9" s="5" t="str">
        <f aca="false">TRIM(MID(B9,FIND(" ",B9&amp;" ")+1,255))</f>
        <v>Carter</v>
      </c>
      <c r="G9" s="5" t="n">
        <f aca="false">SUMPRODUCT(--(UPPER(TRIM(Sanctions_PEP_List!$B$2:$B$26))=UPPER(TRIM(B9))))</f>
        <v>0</v>
      </c>
      <c r="H9" s="5" t="n">
        <f aca="false">SUMPRODUCT(--ISNUMBER(SEARCH(UPPER(TRIM(B9)),UPPER(Sanctions_PEP_List!$C$2:$C$26))))</f>
        <v>0</v>
      </c>
      <c r="I9" s="5" t="n">
        <f aca="false">SUMPRODUCT(ISNUMBER(SEARCH(UPPER(E9),UPPER(Sanctions_PEP_List!$B$2:$B$26)))*IF(F9&lt;&gt;"",ISNUMBER(SEARCH(UPPER(F9),UPPER(Sanctions_PEP_List!$B$2:$B$26))),1))</f>
        <v>0</v>
      </c>
      <c r="J9" s="5" t="n">
        <f aca="false">SUMPRODUCT((UPPER(TRIM(Sanctions_PEP_List!$B$2:$B$26))=UPPER(TRIM(B9)))*(((Sanctions_PEP_List!$F$2:$F$26&lt;&gt;"")*(C9&lt;&gt;"")*(Sanctions_PEP_List!$F$2:$F$26=C9))+(Sanctions_PEP_List!$E$2:$E$26=D9)))</f>
        <v>0</v>
      </c>
      <c r="K9" s="5" t="str">
        <f aca="false" t="array" ref="K9:K9">_xlfn.TEXTJOIN(", ",TRUE(),IF((UPPER(TRIM(Sanctions_PEP_List!$B$2:$B$26))=UPPER(TRIM(B9)))+(ISNUMBER(SEARCH(UPPER(TRIM(B9)),UPPER(Sanctions_PEP_List!$C$2:$C$26))))&gt;0,Sanctions_PEP_List!$B$2:$B$26,""))</f>
        <v/>
      </c>
      <c r="L9" s="5" t="str">
        <f aca="false" t="array" ref="L9:L9">_xlfn.TEXTJOIN(", ",TRUE(),IF((UPPER(TRIM(Sanctions_PEP_List!$B$2:$B$26))=UPPER(TRIM(B9)))+(ISNUMBER(SEARCH(UPPER(TRIM(B9)),UPPER(Sanctions_PEP_List!$C$2:$C$26))))&gt;0,Sanctions_PEP_List!$G$2:$G$26,""))</f>
        <v/>
      </c>
      <c r="M9" s="5" t="str">
        <f aca="false" t="array" ref="M9:M9">_xlfn.TEXTJOIN(", ",TRUE(),IF(ISNUMBER(SEARCH(UPPER(E9),UPPER(Sanctions_PEP_List!$B$2:$B$26)))*IF(F9&lt;&gt;"",ISNUMBER(SEARCH(UPPER(F9),UPPER(Sanctions_PEP_List!$B$2:$B$26))),1)&gt;0,Sanctions_PEP_List!$B$2:$B$26,""))</f>
        <v/>
      </c>
      <c r="N9" s="5" t="str">
        <f aca="false">IF(G9&gt;0,"CONFIRMED NAME MATCH - escalate for identity verification",IF(H9&gt;0,"ALIAS MATCH - escalate for identity verification",IF(I9&gt;=1,"POSSIBLE MATCH (partial name) - manual review","CLEAR")))</f>
        <v>CLEAR</v>
      </c>
    </row>
    <row r="10" customFormat="false" ht="15" hidden="false" customHeight="false" outlineLevel="0" collapsed="false">
      <c r="A10" s="5" t="s">
        <v>211</v>
      </c>
      <c r="B10" s="5" t="s">
        <v>212</v>
      </c>
      <c r="C10" s="5" t="s">
        <v>213</v>
      </c>
      <c r="D10" s="5" t="s">
        <v>178</v>
      </c>
      <c r="E10" s="5" t="str">
        <f aca="false">TRIM(LEFT(B10,FIND(" ",B10&amp;" ")-1))</f>
        <v>Luca</v>
      </c>
      <c r="F10" s="5" t="str">
        <f aca="false">TRIM(MID(B10,FIND(" ",B10&amp;" ")+1,255))</f>
        <v>Romano</v>
      </c>
      <c r="G10" s="5" t="n">
        <f aca="false">SUMPRODUCT(--(UPPER(TRIM(Sanctions_PEP_List!$B$2:$B$26))=UPPER(TRIM(B10))))</f>
        <v>0</v>
      </c>
      <c r="H10" s="5" t="n">
        <f aca="false">SUMPRODUCT(--ISNUMBER(SEARCH(UPPER(TRIM(B10)),UPPER(Sanctions_PEP_List!$C$2:$C$26))))</f>
        <v>0</v>
      </c>
      <c r="I10" s="5" t="n">
        <f aca="false">SUMPRODUCT(ISNUMBER(SEARCH(UPPER(E10),UPPER(Sanctions_PEP_List!$B$2:$B$26)))*IF(F10&lt;&gt;"",ISNUMBER(SEARCH(UPPER(F10),UPPER(Sanctions_PEP_List!$B$2:$B$26))),1))</f>
        <v>0</v>
      </c>
      <c r="J10" s="5" t="n">
        <f aca="false">SUMPRODUCT((UPPER(TRIM(Sanctions_PEP_List!$B$2:$B$26))=UPPER(TRIM(B10)))*(((Sanctions_PEP_List!$F$2:$F$26&lt;&gt;"")*(C10&lt;&gt;"")*(Sanctions_PEP_List!$F$2:$F$26=C10))+(Sanctions_PEP_List!$E$2:$E$26=D10)))</f>
        <v>0</v>
      </c>
      <c r="K10" s="5" t="str">
        <f aca="false" t="array" ref="K10:K10">_xlfn.TEXTJOIN(", ",TRUE(),IF((UPPER(TRIM(Sanctions_PEP_List!$B$2:$B$26))=UPPER(TRIM(B10)))+(ISNUMBER(SEARCH(UPPER(TRIM(B10)),UPPER(Sanctions_PEP_List!$C$2:$C$26))))&gt;0,Sanctions_PEP_List!$B$2:$B$26,""))</f>
        <v/>
      </c>
      <c r="L10" s="5" t="str">
        <f aca="false" t="array" ref="L10:L10">_xlfn.TEXTJOIN(", ",TRUE(),IF((UPPER(TRIM(Sanctions_PEP_List!$B$2:$B$26))=UPPER(TRIM(B10)))+(ISNUMBER(SEARCH(UPPER(TRIM(B10)),UPPER(Sanctions_PEP_List!$C$2:$C$26))))&gt;0,Sanctions_PEP_List!$G$2:$G$26,""))</f>
        <v/>
      </c>
      <c r="M10" s="5" t="str">
        <f aca="false" t="array" ref="M10:M10">_xlfn.TEXTJOIN(", ",TRUE(),IF(ISNUMBER(SEARCH(UPPER(E10),UPPER(Sanctions_PEP_List!$B$2:$B$26)))*IF(F10&lt;&gt;"",ISNUMBER(SEARCH(UPPER(F10),UPPER(Sanctions_PEP_List!$B$2:$B$26))),1)&gt;0,Sanctions_PEP_List!$B$2:$B$26,""))</f>
        <v/>
      </c>
      <c r="N10" s="5" t="str">
        <f aca="false">IF(G10&gt;0,"CONFIRMED NAME MATCH - escalate for identity verification",IF(H10&gt;0,"ALIAS MATCH - escalate for identity verification",IF(I10&gt;=1,"POSSIBLE MATCH (partial name) - manual review","CLEAR")))</f>
        <v>CLEAR</v>
      </c>
    </row>
    <row r="11" customFormat="false" ht="15" hidden="false" customHeight="false" outlineLevel="0" collapsed="false">
      <c r="A11" s="5" t="s">
        <v>215</v>
      </c>
      <c r="B11" s="5" t="s">
        <v>216</v>
      </c>
      <c r="C11" s="5" t="s">
        <v>217</v>
      </c>
      <c r="D11" s="5" t="s">
        <v>178</v>
      </c>
      <c r="E11" s="5" t="str">
        <f aca="false">TRIM(LEFT(B11,FIND(" ",B11&amp;" ")-1))</f>
        <v>Hannah</v>
      </c>
      <c r="F11" s="5" t="str">
        <f aca="false">TRIM(MID(B11,FIND(" ",B11&amp;" ")+1,255))</f>
        <v>Kim</v>
      </c>
      <c r="G11" s="5" t="n">
        <f aca="false">SUMPRODUCT(--(UPPER(TRIM(Sanctions_PEP_List!$B$2:$B$26))=UPPER(TRIM(B11))))</f>
        <v>0</v>
      </c>
      <c r="H11" s="5" t="n">
        <f aca="false">SUMPRODUCT(--ISNUMBER(SEARCH(UPPER(TRIM(B11)),UPPER(Sanctions_PEP_List!$C$2:$C$26))))</f>
        <v>0</v>
      </c>
      <c r="I11" s="5" t="n">
        <f aca="false">SUMPRODUCT(ISNUMBER(SEARCH(UPPER(E11),UPPER(Sanctions_PEP_List!$B$2:$B$26)))*IF(F11&lt;&gt;"",ISNUMBER(SEARCH(UPPER(F11),UPPER(Sanctions_PEP_List!$B$2:$B$26))),1))</f>
        <v>0</v>
      </c>
      <c r="J11" s="5" t="n">
        <f aca="false">SUMPRODUCT((UPPER(TRIM(Sanctions_PEP_List!$B$2:$B$26))=UPPER(TRIM(B11)))*(((Sanctions_PEP_List!$F$2:$F$26&lt;&gt;"")*(C11&lt;&gt;"")*(Sanctions_PEP_List!$F$2:$F$26=C11))+(Sanctions_PEP_List!$E$2:$E$26=D11)))</f>
        <v>0</v>
      </c>
      <c r="K11" s="5" t="str">
        <f aca="false" t="array" ref="K11:K11">_xlfn.TEXTJOIN(", ",TRUE(),IF((UPPER(TRIM(Sanctions_PEP_List!$B$2:$B$26))=UPPER(TRIM(B11)))+(ISNUMBER(SEARCH(UPPER(TRIM(B11)),UPPER(Sanctions_PEP_List!$C$2:$C$26))))&gt;0,Sanctions_PEP_List!$B$2:$B$26,""))</f>
        <v/>
      </c>
      <c r="L11" s="5" t="str">
        <f aca="false" t="array" ref="L11:L11">_xlfn.TEXTJOIN(", ",TRUE(),IF((UPPER(TRIM(Sanctions_PEP_List!$B$2:$B$26))=UPPER(TRIM(B11)))+(ISNUMBER(SEARCH(UPPER(TRIM(B11)),UPPER(Sanctions_PEP_List!$C$2:$C$26))))&gt;0,Sanctions_PEP_List!$G$2:$G$26,""))</f>
        <v/>
      </c>
      <c r="M11" s="5" t="str">
        <f aca="false" t="array" ref="M11:M11">_xlfn.TEXTJOIN(", ",TRUE(),IF(ISNUMBER(SEARCH(UPPER(E11),UPPER(Sanctions_PEP_List!$B$2:$B$26)))*IF(F11&lt;&gt;"",ISNUMBER(SEARCH(UPPER(F11),UPPER(Sanctions_PEP_List!$B$2:$B$26))),1)&gt;0,Sanctions_PEP_List!$B$2:$B$26,""))</f>
        <v/>
      </c>
      <c r="N11" s="5" t="str">
        <f aca="false">IF(G11&gt;0,"CONFIRMED NAME MATCH - escalate for identity verification",IF(H11&gt;0,"ALIAS MATCH - escalate for identity verification",IF(I11&gt;=1,"POSSIBLE MATCH (partial name) - manual review","CLEAR")))</f>
        <v>CLEAR</v>
      </c>
    </row>
    <row r="12" customFormat="false" ht="15" hidden="false" customHeight="false" outlineLevel="0" collapsed="false">
      <c r="A12" s="5" t="s">
        <v>219</v>
      </c>
      <c r="B12" s="5" t="s">
        <v>220</v>
      </c>
      <c r="C12" s="5" t="s">
        <v>221</v>
      </c>
      <c r="D12" s="5" t="s">
        <v>178</v>
      </c>
      <c r="E12" s="5" t="str">
        <f aca="false">TRIM(LEFT(B12,FIND(" ",B12&amp;" ")-1))</f>
        <v>Michael</v>
      </c>
      <c r="F12" s="5" t="str">
        <f aca="false">TRIM(MID(B12,FIND(" ",B12&amp;" ")+1,255))</f>
        <v>Brooks</v>
      </c>
      <c r="G12" s="5" t="n">
        <f aca="false">SUMPRODUCT(--(UPPER(TRIM(Sanctions_PEP_List!$B$2:$B$26))=UPPER(TRIM(B12))))</f>
        <v>0</v>
      </c>
      <c r="H12" s="5" t="n">
        <f aca="false">SUMPRODUCT(--ISNUMBER(SEARCH(UPPER(TRIM(B12)),UPPER(Sanctions_PEP_List!$C$2:$C$26))))</f>
        <v>0</v>
      </c>
      <c r="I12" s="5" t="n">
        <f aca="false">SUMPRODUCT(ISNUMBER(SEARCH(UPPER(E12),UPPER(Sanctions_PEP_List!$B$2:$B$26)))*IF(F12&lt;&gt;"",ISNUMBER(SEARCH(UPPER(F12),UPPER(Sanctions_PEP_List!$B$2:$B$26))),1))</f>
        <v>0</v>
      </c>
      <c r="J12" s="5" t="n">
        <f aca="false">SUMPRODUCT((UPPER(TRIM(Sanctions_PEP_List!$B$2:$B$26))=UPPER(TRIM(B12)))*(((Sanctions_PEP_List!$F$2:$F$26&lt;&gt;"")*(C12&lt;&gt;"")*(Sanctions_PEP_List!$F$2:$F$26=C12))+(Sanctions_PEP_List!$E$2:$E$26=D12)))</f>
        <v>0</v>
      </c>
      <c r="K12" s="5" t="str">
        <f aca="false" t="array" ref="K12:K12">_xlfn.TEXTJOIN(", ",TRUE(),IF((UPPER(TRIM(Sanctions_PEP_List!$B$2:$B$26))=UPPER(TRIM(B12)))+(ISNUMBER(SEARCH(UPPER(TRIM(B12)),UPPER(Sanctions_PEP_List!$C$2:$C$26))))&gt;0,Sanctions_PEP_List!$B$2:$B$26,""))</f>
        <v/>
      </c>
      <c r="L12" s="5" t="str">
        <f aca="false" t="array" ref="L12:L12">_xlfn.TEXTJOIN(", ",TRUE(),IF((UPPER(TRIM(Sanctions_PEP_List!$B$2:$B$26))=UPPER(TRIM(B12)))+(ISNUMBER(SEARCH(UPPER(TRIM(B12)),UPPER(Sanctions_PEP_List!$C$2:$C$26))))&gt;0,Sanctions_PEP_List!$G$2:$G$26,""))</f>
        <v/>
      </c>
      <c r="M12" s="5" t="str">
        <f aca="false" t="array" ref="M12:M12">_xlfn.TEXTJOIN(", ",TRUE(),IF(ISNUMBER(SEARCH(UPPER(E12),UPPER(Sanctions_PEP_List!$B$2:$B$26)))*IF(F12&lt;&gt;"",ISNUMBER(SEARCH(UPPER(F12),UPPER(Sanctions_PEP_List!$B$2:$B$26))),1)&gt;0,Sanctions_PEP_List!$B$2:$B$26,""))</f>
        <v/>
      </c>
      <c r="N12" s="5" t="str">
        <f aca="false">IF(G12&gt;0,"CONFIRMED NAME MATCH - escalate for identity verification",IF(H12&gt;0,"ALIAS MATCH - escalate for identity verification",IF(I12&gt;=1,"POSSIBLE MATCH (partial name) - manual review","CLEAR")))</f>
        <v>CLEAR</v>
      </c>
    </row>
    <row r="13" customFormat="false" ht="15" hidden="false" customHeight="false" outlineLevel="0" collapsed="false">
      <c r="A13" s="5" t="s">
        <v>223</v>
      </c>
      <c r="B13" s="5" t="s">
        <v>224</v>
      </c>
      <c r="C13" s="5" t="s">
        <v>225</v>
      </c>
      <c r="D13" s="5" t="s">
        <v>178</v>
      </c>
      <c r="E13" s="5" t="str">
        <f aca="false">TRIM(LEFT(B13,FIND(" ",B13&amp;" ")-1))</f>
        <v>Fatima</v>
      </c>
      <c r="F13" s="5" t="str">
        <f aca="false">TRIM(MID(B13,FIND(" ",B13&amp;" ")+1,255))</f>
        <v>Noor</v>
      </c>
      <c r="G13" s="5" t="n">
        <f aca="false">SUMPRODUCT(--(UPPER(TRIM(Sanctions_PEP_List!$B$2:$B$26))=UPPER(TRIM(B13))))</f>
        <v>0</v>
      </c>
      <c r="H13" s="5" t="n">
        <f aca="false">SUMPRODUCT(--ISNUMBER(SEARCH(UPPER(TRIM(B13)),UPPER(Sanctions_PEP_List!$C$2:$C$26))))</f>
        <v>0</v>
      </c>
      <c r="I13" s="5" t="n">
        <f aca="false">SUMPRODUCT(ISNUMBER(SEARCH(UPPER(E13),UPPER(Sanctions_PEP_List!$B$2:$B$26)))*IF(F13&lt;&gt;"",ISNUMBER(SEARCH(UPPER(F13),UPPER(Sanctions_PEP_List!$B$2:$B$26))),1))</f>
        <v>0</v>
      </c>
      <c r="J13" s="5" t="n">
        <f aca="false">SUMPRODUCT((UPPER(TRIM(Sanctions_PEP_List!$B$2:$B$26))=UPPER(TRIM(B13)))*(((Sanctions_PEP_List!$F$2:$F$26&lt;&gt;"")*(C13&lt;&gt;"")*(Sanctions_PEP_List!$F$2:$F$26=C13))+(Sanctions_PEP_List!$E$2:$E$26=D13)))</f>
        <v>0</v>
      </c>
      <c r="K13" s="5" t="str">
        <f aca="false" t="array" ref="K13:K13">_xlfn.TEXTJOIN(", ",TRUE(),IF((UPPER(TRIM(Sanctions_PEP_List!$B$2:$B$26))=UPPER(TRIM(B13)))+(ISNUMBER(SEARCH(UPPER(TRIM(B13)),UPPER(Sanctions_PEP_List!$C$2:$C$26))))&gt;0,Sanctions_PEP_List!$B$2:$B$26,""))</f>
        <v/>
      </c>
      <c r="L13" s="5" t="str">
        <f aca="false" t="array" ref="L13:L13">_xlfn.TEXTJOIN(", ",TRUE(),IF((UPPER(TRIM(Sanctions_PEP_List!$B$2:$B$26))=UPPER(TRIM(B13)))+(ISNUMBER(SEARCH(UPPER(TRIM(B13)),UPPER(Sanctions_PEP_List!$C$2:$C$26))))&gt;0,Sanctions_PEP_List!$G$2:$G$26,""))</f>
        <v/>
      </c>
      <c r="M13" s="5" t="str">
        <f aca="false" t="array" ref="M13:M13">_xlfn.TEXTJOIN(", ",TRUE(),IF(ISNUMBER(SEARCH(UPPER(E13),UPPER(Sanctions_PEP_List!$B$2:$B$26)))*IF(F13&lt;&gt;"",ISNUMBER(SEARCH(UPPER(F13),UPPER(Sanctions_PEP_List!$B$2:$B$26))),1)&gt;0,Sanctions_PEP_List!$B$2:$B$26,""))</f>
        <v/>
      </c>
      <c r="N13" s="5" t="str">
        <f aca="false">IF(G13&gt;0,"CONFIRMED NAME MATCH - escalate for identity verification",IF(H13&gt;0,"ALIAS MATCH - escalate for identity verification",IF(I13&gt;=1,"POSSIBLE MATCH (partial name) - manual review","CLEAR")))</f>
        <v>CLEAR</v>
      </c>
    </row>
    <row r="14" customFormat="false" ht="15" hidden="false" customHeight="false" outlineLevel="0" collapsed="false">
      <c r="A14" s="5" t="s">
        <v>227</v>
      </c>
      <c r="B14" s="5" t="s">
        <v>38</v>
      </c>
      <c r="C14" s="5" t="s">
        <v>228</v>
      </c>
      <c r="D14" s="5" t="s">
        <v>178</v>
      </c>
      <c r="E14" s="5" t="str">
        <f aca="false">TRIM(LEFT(B14,FIND(" ",B14&amp;" ")-1))</f>
        <v>Dmitri</v>
      </c>
      <c r="F14" s="5" t="str">
        <f aca="false">TRIM(MID(B14,FIND(" ",B14&amp;" ")+1,255))</f>
        <v>Volkov</v>
      </c>
      <c r="G14" s="5" t="n">
        <f aca="false">SUMPRODUCT(--(UPPER(TRIM(Sanctions_PEP_List!$B$2:$B$26))=UPPER(TRIM(B14))))</f>
        <v>1</v>
      </c>
      <c r="H14" s="5" t="n">
        <f aca="false">SUMPRODUCT(--ISNUMBER(SEARCH(UPPER(TRIM(B14)),UPPER(Sanctions_PEP_List!$C$2:$C$26))))</f>
        <v>0</v>
      </c>
      <c r="I14" s="5" t="n">
        <f aca="false">SUMPRODUCT(ISNUMBER(SEARCH(UPPER(E14),UPPER(Sanctions_PEP_List!$B$2:$B$26)))*IF(F14&lt;&gt;"",ISNUMBER(SEARCH(UPPER(F14),UPPER(Sanctions_PEP_List!$B$2:$B$26))),1))</f>
        <v>1</v>
      </c>
      <c r="J14" s="5" t="n">
        <f aca="false">SUMPRODUCT((UPPER(TRIM(Sanctions_PEP_List!$B$2:$B$26))=UPPER(TRIM(B14)))*(((Sanctions_PEP_List!$F$2:$F$26&lt;&gt;"")*(C14&lt;&gt;"")*(Sanctions_PEP_List!$F$2:$F$26=C14))+(Sanctions_PEP_List!$E$2:$E$26=D14)))</f>
        <v>0</v>
      </c>
      <c r="K14" s="5" t="str">
        <f aca="false" t="array" ref="K14:K14">_xlfn.TEXTJOIN(", ",TRUE(),IF((UPPER(TRIM(Sanctions_PEP_List!$B$2:$B$26))=UPPER(TRIM(B14)))+(ISNUMBER(SEARCH(UPPER(TRIM(B14)),UPPER(Sanctions_PEP_List!$C$2:$C$26))))&gt;0,Sanctions_PEP_List!$B$2:$B$26,""))</f>
        <v>Dmitri Volkov</v>
      </c>
      <c r="L14" s="5" t="str">
        <f aca="false" t="array" ref="L14:L14">_xlfn.TEXTJOIN(", ",TRUE(),IF((UPPER(TRIM(Sanctions_PEP_List!$B$2:$B$26))=UPPER(TRIM(B14)))+(ISNUMBER(SEARCH(UPPER(TRIM(B14)),UPPER(Sanctions_PEP_List!$C$2:$C$26))))&gt;0,Sanctions_PEP_List!$G$2:$G$26,""))</f>
        <v>EU Sanctions List</v>
      </c>
      <c r="M14" s="5" t="str">
        <f aca="false" t="array" ref="M14:M14">_xlfn.TEXTJOIN(", ",TRUE(),IF(ISNUMBER(SEARCH(UPPER(E14),UPPER(Sanctions_PEP_List!$B$2:$B$26)))*IF(F14&lt;&gt;"",ISNUMBER(SEARCH(UPPER(F14),UPPER(Sanctions_PEP_List!$B$2:$B$26))),1)&gt;0,Sanctions_PEP_List!$B$2:$B$26,""))</f>
        <v>Dmitri Volkov</v>
      </c>
      <c r="N14" s="5" t="str">
        <f aca="false">IF(G14&gt;0,"CONFIRMED NAME MATCH - escalate for identity verification",IF(H14&gt;0,"ALIAS MATCH - escalate for identity verification",IF(I14&gt;=1,"POSSIBLE MATCH (partial name) - manual review","CLEAR")))</f>
        <v>CONFIRMED NAME MATCH - escalate for identity verification</v>
      </c>
    </row>
    <row r="15" customFormat="false" ht="15" hidden="false" customHeight="false" outlineLevel="0" collapsed="false">
      <c r="A15" s="5" t="s">
        <v>230</v>
      </c>
      <c r="B15" s="5" t="s">
        <v>89</v>
      </c>
      <c r="C15" s="5" t="s">
        <v>231</v>
      </c>
      <c r="D15" s="5" t="s">
        <v>178</v>
      </c>
      <c r="E15" s="5" t="str">
        <f aca="false">TRIM(LEFT(B15,FIND(" ",B15&amp;" ")-1))</f>
        <v>Grace</v>
      </c>
      <c r="F15" s="5" t="str">
        <f aca="false">TRIM(MID(B15,FIND(" ",B15&amp;" ")+1,255))</f>
        <v>Ito</v>
      </c>
      <c r="G15" s="5" t="n">
        <f aca="false">SUMPRODUCT(--(UPPER(TRIM(Sanctions_PEP_List!$B$2:$B$26))=UPPER(TRIM(B15))))</f>
        <v>1</v>
      </c>
      <c r="H15" s="5" t="n">
        <f aca="false">SUMPRODUCT(--ISNUMBER(SEARCH(UPPER(TRIM(B15)),UPPER(Sanctions_PEP_List!$C$2:$C$26))))</f>
        <v>0</v>
      </c>
      <c r="I15" s="5" t="n">
        <f aca="false">SUMPRODUCT(ISNUMBER(SEARCH(UPPER(E15),UPPER(Sanctions_PEP_List!$B$2:$B$26)))*IF(F15&lt;&gt;"",ISNUMBER(SEARCH(UPPER(F15),UPPER(Sanctions_PEP_List!$B$2:$B$26))),1))</f>
        <v>1</v>
      </c>
      <c r="J15" s="5" t="n">
        <f aca="false">SUMPRODUCT((UPPER(TRIM(Sanctions_PEP_List!$B$2:$B$26))=UPPER(TRIM(B15)))*(((Sanctions_PEP_List!$F$2:$F$26&lt;&gt;"")*(C15&lt;&gt;"")*(Sanctions_PEP_List!$F$2:$F$26=C15))+(Sanctions_PEP_List!$E$2:$E$26=D15)))</f>
        <v>0</v>
      </c>
      <c r="K15" s="5" t="str">
        <f aca="false" t="array" ref="K15:K15">_xlfn.TEXTJOIN(", ",TRUE(),IF((UPPER(TRIM(Sanctions_PEP_List!$B$2:$B$26))=UPPER(TRIM(B15)))+(ISNUMBER(SEARCH(UPPER(TRIM(B15)),UPPER(Sanctions_PEP_List!$C$2:$C$26))))&gt;0,Sanctions_PEP_List!$B$2:$B$26,""))</f>
        <v>Grace Ito</v>
      </c>
      <c r="L15" s="5" t="str">
        <f aca="false" t="array" ref="L15:L15">_xlfn.TEXTJOIN(", ",TRUE(),IF((UPPER(TRIM(Sanctions_PEP_List!$B$2:$B$26))=UPPER(TRIM(B15)))+(ISNUMBER(SEARCH(UPPER(TRIM(B15)),UPPER(Sanctions_PEP_List!$C$2:$C$26))))&gt;0,Sanctions_PEP_List!$G$2:$G$26,""))</f>
        <v>PEP - Foreign Official</v>
      </c>
      <c r="M15" s="5" t="str">
        <f aca="false" t="array" ref="M15:M15">_xlfn.TEXTJOIN(", ",TRUE(),IF(ISNUMBER(SEARCH(UPPER(E15),UPPER(Sanctions_PEP_List!$B$2:$B$26)))*IF(F15&lt;&gt;"",ISNUMBER(SEARCH(UPPER(F15),UPPER(Sanctions_PEP_List!$B$2:$B$26))),1)&gt;0,Sanctions_PEP_List!$B$2:$B$26,""))</f>
        <v>Grace Ito</v>
      </c>
      <c r="N15" s="5" t="str">
        <f aca="false">IF(G15&gt;0,"CONFIRMED NAME MATCH - escalate for identity verification",IF(H15&gt;0,"ALIAS MATCH - escalate for identity verification",IF(I15&gt;=1,"POSSIBLE MATCH (partial name) - manual review","CLEAR")))</f>
        <v>CONFIRMED NAME MATCH - escalate for identity verification</v>
      </c>
    </row>
    <row r="16" customFormat="false" ht="15" hidden="false" customHeight="false" outlineLevel="0" collapsed="false">
      <c r="A16" s="5" t="s">
        <v>233</v>
      </c>
      <c r="B16" s="5" t="s">
        <v>29</v>
      </c>
      <c r="C16" s="5" t="s">
        <v>33</v>
      </c>
      <c r="D16" s="5" t="s">
        <v>32</v>
      </c>
      <c r="E16" s="5" t="str">
        <f aca="false">TRIM(LEFT(B16,FIND(" ",B16&amp;" ")-1))</f>
        <v>Farid</v>
      </c>
      <c r="F16" s="5" t="str">
        <f aca="false">TRIM(MID(B16,FIND(" ",B16&amp;" ")+1,255))</f>
        <v>Al-Nassar</v>
      </c>
      <c r="G16" s="5" t="n">
        <f aca="false">SUMPRODUCT(--(UPPER(TRIM(Sanctions_PEP_List!$B$2:$B$26))=UPPER(TRIM(B16))))</f>
        <v>1</v>
      </c>
      <c r="H16" s="5" t="n">
        <f aca="false">SUMPRODUCT(--ISNUMBER(SEARCH(UPPER(TRIM(B16)),UPPER(Sanctions_PEP_List!$C$2:$C$26))))</f>
        <v>0</v>
      </c>
      <c r="I16" s="5" t="n">
        <f aca="false">SUMPRODUCT(ISNUMBER(SEARCH(UPPER(E16),UPPER(Sanctions_PEP_List!$B$2:$B$26)))*IF(F16&lt;&gt;"",ISNUMBER(SEARCH(UPPER(F16),UPPER(Sanctions_PEP_List!$B$2:$B$26))),1))</f>
        <v>1</v>
      </c>
      <c r="J16" s="5" t="n">
        <f aca="false">SUMPRODUCT((UPPER(TRIM(Sanctions_PEP_List!$B$2:$B$26))=UPPER(TRIM(B16)))*(((Sanctions_PEP_List!$F$2:$F$26&lt;&gt;"")*(C16&lt;&gt;"")*(Sanctions_PEP_List!$F$2:$F$26=C16))+(Sanctions_PEP_List!$E$2:$E$26=D16)))</f>
        <v>2</v>
      </c>
      <c r="K16" s="5" t="str">
        <f aca="false" t="array" ref="K16:K16">_xlfn.TEXTJOIN(", ",TRUE(),IF((UPPER(TRIM(Sanctions_PEP_List!$B$2:$B$26))=UPPER(TRIM(B16)))+(ISNUMBER(SEARCH(UPPER(TRIM(B16)),UPPER(Sanctions_PEP_List!$C$2:$C$26))))&gt;0,Sanctions_PEP_List!$B$2:$B$26,""))</f>
        <v>Farid Al-Nassar</v>
      </c>
      <c r="L16" s="5" t="str">
        <f aca="false" t="array" ref="L16:L16">_xlfn.TEXTJOIN(", ",TRUE(),IF((UPPER(TRIM(Sanctions_PEP_List!$B$2:$B$26))=UPPER(TRIM(B16)))+(ISNUMBER(SEARCH(UPPER(TRIM(B16)),UPPER(Sanctions_PEP_List!$C$2:$C$26))))&gt;0,Sanctions_PEP_List!$G$2:$G$26,""))</f>
        <v>OFAC SDN</v>
      </c>
      <c r="M16" s="5" t="str">
        <f aca="false" t="array" ref="M16:M16">_xlfn.TEXTJOIN(", ",TRUE(),IF(ISNUMBER(SEARCH(UPPER(E16),UPPER(Sanctions_PEP_List!$B$2:$B$26)))*IF(F16&lt;&gt;"",ISNUMBER(SEARCH(UPPER(F16),UPPER(Sanctions_PEP_List!$B$2:$B$26))),1)&gt;0,Sanctions_PEP_List!$B$2:$B$26,""))</f>
        <v>Farid Al-Nassar</v>
      </c>
      <c r="N16" s="5" t="str">
        <f aca="false">IF(G16&gt;0,"CONFIRMED NAME MATCH - escalate for identity verification",IF(H16&gt;0,"ALIAS MATCH - escalate for identity verification",IF(I16&gt;=1,"POSSIBLE MATCH (partial name) - manual review","CLEAR")))</f>
        <v>CONFIRMED NAME MATCH - escalate for identity verification</v>
      </c>
    </row>
    <row r="17" customFormat="false" ht="15" hidden="false" customHeight="false" outlineLevel="0" collapsed="false">
      <c r="A17" s="5" t="s">
        <v>235</v>
      </c>
      <c r="B17" s="5" t="s">
        <v>236</v>
      </c>
      <c r="C17" s="5" t="s">
        <v>72</v>
      </c>
      <c r="D17" s="5" t="s">
        <v>71</v>
      </c>
      <c r="E17" s="5" t="str">
        <f aca="false">TRIM(LEFT(B17,FIND(" ",B17&amp;" ")-1))</f>
        <v>Elena</v>
      </c>
      <c r="F17" s="5" t="str">
        <f aca="false">TRIM(MID(B17,FIND(" ",B17&amp;" ")+1,255))</f>
        <v>Petrova</v>
      </c>
      <c r="G17" s="5" t="n">
        <f aca="false">SUMPRODUCT(--(UPPER(TRIM(Sanctions_PEP_List!$B$2:$B$26))=UPPER(TRIM(B17))))</f>
        <v>0</v>
      </c>
      <c r="H17" s="5" t="n">
        <f aca="false">SUMPRODUCT(--ISNUMBER(SEARCH(UPPER(TRIM(B17)),UPPER(Sanctions_PEP_List!$C$2:$C$26))))</f>
        <v>1</v>
      </c>
      <c r="I17" s="5" t="n">
        <f aca="false">SUMPRODUCT(ISNUMBER(SEARCH(UPPER(E17),UPPER(Sanctions_PEP_List!$B$2:$B$26)))*IF(F17&lt;&gt;"",ISNUMBER(SEARCH(UPPER(F17),UPPER(Sanctions_PEP_List!$B$2:$B$26))),1))</f>
        <v>1</v>
      </c>
      <c r="J17" s="5" t="n">
        <f aca="false">SUMPRODUCT((UPPER(TRIM(Sanctions_PEP_List!$B$2:$B$26))=UPPER(TRIM(B17)))*(((Sanctions_PEP_List!$F$2:$F$26&lt;&gt;"")*(C17&lt;&gt;"")*(Sanctions_PEP_List!$F$2:$F$26=C17))+(Sanctions_PEP_List!$E$2:$E$26=D17)))</f>
        <v>0</v>
      </c>
      <c r="K17" s="5" t="str">
        <f aca="false" t="array" ref="K17:K17">_xlfn.TEXTJOIN(", ",TRUE(),IF((UPPER(TRIM(Sanctions_PEP_List!$B$2:$B$26))=UPPER(TRIM(B17)))+(ISNUMBER(SEARCH(UPPER(TRIM(B17)),UPPER(Sanctions_PEP_List!$C$2:$C$26))))&gt;0,Sanctions_PEP_List!$B$2:$B$26,""))</f>
        <v>Yelena Petrova</v>
      </c>
      <c r="L17" s="5" t="str">
        <f aca="false" t="array" ref="L17:L17">_xlfn.TEXTJOIN(", ",TRUE(),IF((UPPER(TRIM(Sanctions_PEP_List!$B$2:$B$26))=UPPER(TRIM(B17)))+(ISNUMBER(SEARCH(UPPER(TRIM(B17)),UPPER(Sanctions_PEP_List!$C$2:$C$26))))&gt;0,Sanctions_PEP_List!$G$2:$G$26,""))</f>
        <v>EU Sanctions List</v>
      </c>
      <c r="M17" s="5" t="str">
        <f aca="false" t="array" ref="M17:M17">_xlfn.TEXTJOIN(", ",TRUE(),IF(ISNUMBER(SEARCH(UPPER(E17),UPPER(Sanctions_PEP_List!$B$2:$B$26)))*IF(F17&lt;&gt;"",ISNUMBER(SEARCH(UPPER(F17),UPPER(Sanctions_PEP_List!$B$2:$B$26))),1)&gt;0,Sanctions_PEP_List!$B$2:$B$26,""))</f>
        <v>Yelena Petrova</v>
      </c>
      <c r="N17" s="5" t="str">
        <f aca="false">IF(G17&gt;0,"CONFIRMED NAME MATCH - escalate for identity verification",IF(H17&gt;0,"ALIAS MATCH - escalate for identity verification",IF(I17&gt;=1,"POSSIBLE MATCH (partial name) - manual review","CLEAR")))</f>
        <v>ALIAS MATCH - escalate for identity verification</v>
      </c>
    </row>
    <row r="18" customFormat="false" ht="15" hidden="false" customHeight="false" outlineLevel="0" collapsed="false">
      <c r="A18" s="5" t="s">
        <v>238</v>
      </c>
      <c r="B18" s="5" t="s">
        <v>239</v>
      </c>
      <c r="C18" s="5"/>
      <c r="D18" s="5" t="s">
        <v>40</v>
      </c>
      <c r="E18" s="5" t="str">
        <f aca="false">TRIM(LEFT(B18,FIND(" ",B18&amp;" ")-1))</f>
        <v>Consolidated</v>
      </c>
      <c r="F18" s="5" t="str">
        <f aca="false">TRIM(MID(B18,FIND(" ",B18&amp;" ")+1,255))</f>
        <v>Metal Company</v>
      </c>
      <c r="G18" s="5" t="n">
        <f aca="false">SUMPRODUCT(--(UPPER(TRIM(Sanctions_PEP_List!$B$2:$B$26))=UPPER(TRIM(B18))))</f>
        <v>0</v>
      </c>
      <c r="H18" s="5" t="n">
        <f aca="false">SUMPRODUCT(--ISNUMBER(SEARCH(UPPER(TRIM(B18)),UPPER(Sanctions_PEP_List!$C$2:$C$26))))</f>
        <v>1</v>
      </c>
      <c r="I18" s="5" t="n">
        <f aca="false">SUMPRODUCT(ISNUMBER(SEARCH(UPPER(E18),UPPER(Sanctions_PEP_List!$B$2:$B$26)))*IF(F18&lt;&gt;"",ISNUMBER(SEARCH(UPPER(F18),UPPER(Sanctions_PEP_List!$B$2:$B$26))),1))</f>
        <v>0</v>
      </c>
      <c r="J18" s="5" t="n">
        <f aca="false">SUMPRODUCT((UPPER(TRIM(Sanctions_PEP_List!$B$2:$B$26))=UPPER(TRIM(B18)))*(((Sanctions_PEP_List!$F$2:$F$26&lt;&gt;"")*(C18&lt;&gt;"")*(Sanctions_PEP_List!$F$2:$F$26=C18))+(Sanctions_PEP_List!$E$2:$E$26=D18)))</f>
        <v>0</v>
      </c>
      <c r="K18" s="5" t="str">
        <f aca="false" t="array" ref="K18:K18">_xlfn.TEXTJOIN(", ",TRUE(),IF((UPPER(TRIM(Sanctions_PEP_List!$B$2:$B$26))=UPPER(TRIM(B18)))+(ISNUMBER(SEARCH(UPPER(TRIM(B18)),UPPER(Sanctions_PEP_List!$C$2:$C$26))))&gt;0,Sanctions_PEP_List!$B$2:$B$26,""))</f>
        <v>Consolidated Metals JSC</v>
      </c>
      <c r="L18" s="5" t="str">
        <f aca="false" t="array" ref="L18:L18">_xlfn.TEXTJOIN(", ",TRUE(),IF((UPPER(TRIM(Sanctions_PEP_List!$B$2:$B$26))=UPPER(TRIM(B18)))+(ISNUMBER(SEARCH(UPPER(TRIM(B18)),UPPER(Sanctions_PEP_List!$C$2:$C$26))))&gt;0,Sanctions_PEP_List!$G$2:$G$26,""))</f>
        <v>OFAC SDN</v>
      </c>
      <c r="M18" s="5" t="str">
        <f aca="false" t="array" ref="M18:M18">_xlfn.TEXTJOIN(", ",TRUE(),IF(ISNUMBER(SEARCH(UPPER(E18),UPPER(Sanctions_PEP_List!$B$2:$B$26)))*IF(F18&lt;&gt;"",ISNUMBER(SEARCH(UPPER(F18),UPPER(Sanctions_PEP_List!$B$2:$B$26))),1)&gt;0,Sanctions_PEP_List!$B$2:$B$26,""))</f>
        <v/>
      </c>
      <c r="N18" s="5" t="str">
        <f aca="false">IF(G18&gt;0,"CONFIRMED NAME MATCH - escalate for identity verification",IF(H18&gt;0,"ALIAS MATCH - escalate for identity verification",IF(I18&gt;=1,"POSSIBLE MATCH (partial name) - manual review","CLEAR")))</f>
        <v>ALIAS MATCH - escalate for identity verification</v>
      </c>
    </row>
    <row r="19" customFormat="false" ht="15" hidden="false" customHeight="false" outlineLevel="0" collapsed="false">
      <c r="A19" s="5" t="s">
        <v>241</v>
      </c>
      <c r="B19" s="5" t="s">
        <v>242</v>
      </c>
      <c r="C19" s="5" t="s">
        <v>65</v>
      </c>
      <c r="D19" s="5" t="s">
        <v>64</v>
      </c>
      <c r="E19" s="5" t="str">
        <f aca="false">TRIM(LEFT(B19,FIND(" ",B19&amp;" ")-1))</f>
        <v>Hassan</v>
      </c>
      <c r="F19" s="5" t="str">
        <f aca="false">TRIM(MID(B19,FIND(" ",B19&amp;" ")+1,255))</f>
        <v>Al Rashid</v>
      </c>
      <c r="G19" s="5" t="n">
        <f aca="false">SUMPRODUCT(--(UPPER(TRIM(Sanctions_PEP_List!$B$2:$B$26))=UPPER(TRIM(B19))))</f>
        <v>0</v>
      </c>
      <c r="H19" s="5" t="n">
        <f aca="false">SUMPRODUCT(--ISNUMBER(SEARCH(UPPER(TRIM(B19)),UPPER(Sanctions_PEP_List!$C$2:$C$26))))</f>
        <v>1</v>
      </c>
      <c r="I19" s="5" t="n">
        <f aca="false">SUMPRODUCT(ISNUMBER(SEARCH(UPPER(E19),UPPER(Sanctions_PEP_List!$B$2:$B$26)))*IF(F19&lt;&gt;"",ISNUMBER(SEARCH(UPPER(F19),UPPER(Sanctions_PEP_List!$B$2:$B$26))),1))</f>
        <v>0</v>
      </c>
      <c r="J19" s="5" t="n">
        <f aca="false">SUMPRODUCT((UPPER(TRIM(Sanctions_PEP_List!$B$2:$B$26))=UPPER(TRIM(B19)))*(((Sanctions_PEP_List!$F$2:$F$26&lt;&gt;"")*(C19&lt;&gt;"")*(Sanctions_PEP_List!$F$2:$F$26=C19))+(Sanctions_PEP_List!$E$2:$E$26=D19)))</f>
        <v>0</v>
      </c>
      <c r="K19" s="5" t="str">
        <f aca="false" t="array" ref="K19:K19">_xlfn.TEXTJOIN(", ",TRUE(),IF((UPPER(TRIM(Sanctions_PEP_List!$B$2:$B$26))=UPPER(TRIM(B19)))+(ISNUMBER(SEARCH(UPPER(TRIM(B19)),UPPER(Sanctions_PEP_List!$C$2:$C$26))))&gt;0,Sanctions_PEP_List!$B$2:$B$26,""))</f>
        <v>Hassan Al-Rashid</v>
      </c>
      <c r="L19" s="5" t="str">
        <f aca="false" t="array" ref="L19:L19">_xlfn.TEXTJOIN(", ",TRUE(),IF((UPPER(TRIM(Sanctions_PEP_List!$B$2:$B$26))=UPPER(TRIM(B19)))+(ISNUMBER(SEARCH(UPPER(TRIM(B19)),UPPER(Sanctions_PEP_List!$C$2:$C$26))))&gt;0,Sanctions_PEP_List!$G$2:$G$26,""))</f>
        <v>UK OFSI</v>
      </c>
      <c r="M19" s="5" t="str">
        <f aca="false" t="array" ref="M19:M19">_xlfn.TEXTJOIN(", ",TRUE(),IF(ISNUMBER(SEARCH(UPPER(E19),UPPER(Sanctions_PEP_List!$B$2:$B$26)))*IF(F19&lt;&gt;"",ISNUMBER(SEARCH(UPPER(F19),UPPER(Sanctions_PEP_List!$B$2:$B$26))),1)&gt;0,Sanctions_PEP_List!$B$2:$B$26,""))</f>
        <v/>
      </c>
      <c r="N19" s="5" t="str">
        <f aca="false">IF(G19&gt;0,"CONFIRMED NAME MATCH - escalate for identity verification",IF(H19&gt;0,"ALIAS MATCH - escalate for identity verification",IF(I19&gt;=1,"POSSIBLE MATCH (partial name) - manual review","CLEAR")))</f>
        <v>ALIAS MATCH - escalate for identity verification</v>
      </c>
    </row>
    <row r="20" customFormat="false" ht="15" hidden="false" customHeight="false" outlineLevel="0" collapsed="false">
      <c r="A20" s="5" t="s">
        <v>244</v>
      </c>
      <c r="B20" s="5" t="s">
        <v>245</v>
      </c>
      <c r="C20" s="5" t="s">
        <v>123</v>
      </c>
      <c r="D20" s="5" t="s">
        <v>40</v>
      </c>
      <c r="E20" s="5" t="str">
        <f aca="false">TRIM(LEFT(B20,FIND(" ",B20&amp;" ")-1))</f>
        <v>Boris</v>
      </c>
      <c r="F20" s="5" t="str">
        <f aca="false">TRIM(MID(B20,FIND(" ",B20&amp;" ")+1,255))</f>
        <v>Kuznetzov</v>
      </c>
      <c r="G20" s="5" t="n">
        <f aca="false">SUMPRODUCT(--(UPPER(TRIM(Sanctions_PEP_List!$B$2:$B$26))=UPPER(TRIM(B20))))</f>
        <v>0</v>
      </c>
      <c r="H20" s="5" t="n">
        <f aca="false">SUMPRODUCT(--ISNUMBER(SEARCH(UPPER(TRIM(B20)),UPPER(Sanctions_PEP_List!$C$2:$C$26))))</f>
        <v>1</v>
      </c>
      <c r="I20" s="5" t="n">
        <f aca="false">SUMPRODUCT(ISNUMBER(SEARCH(UPPER(E20),UPPER(Sanctions_PEP_List!$B$2:$B$26)))*IF(F20&lt;&gt;"",ISNUMBER(SEARCH(UPPER(F20),UPPER(Sanctions_PEP_List!$B$2:$B$26))),1))</f>
        <v>0</v>
      </c>
      <c r="J20" s="5" t="n">
        <f aca="false">SUMPRODUCT((UPPER(TRIM(Sanctions_PEP_List!$B$2:$B$26))=UPPER(TRIM(B20)))*(((Sanctions_PEP_List!$F$2:$F$26&lt;&gt;"")*(C20&lt;&gt;"")*(Sanctions_PEP_List!$F$2:$F$26=C20))+(Sanctions_PEP_List!$E$2:$E$26=D20)))</f>
        <v>0</v>
      </c>
      <c r="K20" s="5" t="str">
        <f aca="false" t="array" ref="K20:K20">_xlfn.TEXTJOIN(", ",TRUE(),IF((UPPER(TRIM(Sanctions_PEP_List!$B$2:$B$26))=UPPER(TRIM(B20)))+(ISNUMBER(SEARCH(UPPER(TRIM(B20)),UPPER(Sanctions_PEP_List!$C$2:$C$26))))&gt;0,Sanctions_PEP_List!$B$2:$B$26,""))</f>
        <v>Boris Kuznetsov</v>
      </c>
      <c r="L20" s="5" t="str">
        <f aca="false" t="array" ref="L20:L20">_xlfn.TEXTJOIN(", ",TRUE(),IF((UPPER(TRIM(Sanctions_PEP_List!$B$2:$B$26))=UPPER(TRIM(B20)))+(ISNUMBER(SEARCH(UPPER(TRIM(B20)),UPPER(Sanctions_PEP_List!$C$2:$C$26))))&gt;0,Sanctions_PEP_List!$G$2:$G$26,""))</f>
        <v>EU Sanctions List</v>
      </c>
      <c r="M20" s="5" t="str">
        <f aca="false" t="array" ref="M20:M20">_xlfn.TEXTJOIN(", ",TRUE(),IF(ISNUMBER(SEARCH(UPPER(E20),UPPER(Sanctions_PEP_List!$B$2:$B$26)))*IF(F20&lt;&gt;"",ISNUMBER(SEARCH(UPPER(F20),UPPER(Sanctions_PEP_List!$B$2:$B$26))),1)&gt;0,Sanctions_PEP_List!$B$2:$B$26,""))</f>
        <v/>
      </c>
      <c r="N20" s="5" t="str">
        <f aca="false">IF(G20&gt;0,"CONFIRMED NAME MATCH - escalate for identity verification",IF(H20&gt;0,"ALIAS MATCH - escalate for identity verification",IF(I20&gt;=1,"POSSIBLE MATCH (partial name) - manual review","CLEAR")))</f>
        <v>ALIAS MATCH - escalate for identity verification</v>
      </c>
    </row>
    <row r="21" customFormat="false" ht="15" hidden="false" customHeight="false" outlineLevel="0" collapsed="false">
      <c r="A21" s="5" t="s">
        <v>247</v>
      </c>
      <c r="B21" s="5" t="s">
        <v>248</v>
      </c>
      <c r="C21" s="5" t="s">
        <v>134</v>
      </c>
      <c r="D21" s="5" t="s">
        <v>133</v>
      </c>
      <c r="E21" s="5" t="str">
        <f aca="false">TRIM(LEFT(B21,FIND(" ",B21&amp;" ")-1))</f>
        <v>Khalid</v>
      </c>
      <c r="F21" s="5" t="str">
        <f aca="false">TRIM(MID(B21,FIND(" ",B21&amp;" ")+1,255))</f>
        <v>Mansour</v>
      </c>
      <c r="G21" s="5" t="n">
        <f aca="false">SUMPRODUCT(--(UPPER(TRIM(Sanctions_PEP_List!$B$2:$B$26))=UPPER(TRIM(B21))))</f>
        <v>0</v>
      </c>
      <c r="H21" s="5" t="n">
        <f aca="false">SUMPRODUCT(--ISNUMBER(SEARCH(UPPER(TRIM(B21)),UPPER(Sanctions_PEP_List!$C$2:$C$26))))</f>
        <v>1</v>
      </c>
      <c r="I21" s="5" t="n">
        <f aca="false">SUMPRODUCT(ISNUMBER(SEARCH(UPPER(E21),UPPER(Sanctions_PEP_List!$B$2:$B$26)))*IF(F21&lt;&gt;"",ISNUMBER(SEARCH(UPPER(F21),UPPER(Sanctions_PEP_List!$B$2:$B$26))),1))</f>
        <v>1</v>
      </c>
      <c r="J21" s="5" t="n">
        <f aca="false">SUMPRODUCT((UPPER(TRIM(Sanctions_PEP_List!$B$2:$B$26))=UPPER(TRIM(B21)))*(((Sanctions_PEP_List!$F$2:$F$26&lt;&gt;"")*(C21&lt;&gt;"")*(Sanctions_PEP_List!$F$2:$F$26=C21))+(Sanctions_PEP_List!$E$2:$E$26=D21)))</f>
        <v>0</v>
      </c>
      <c r="K21" s="5" t="str">
        <f aca="false" t="array" ref="K21:K21">_xlfn.TEXTJOIN(", ",TRUE(),IF((UPPER(TRIM(Sanctions_PEP_List!$B$2:$B$26))=UPPER(TRIM(B21)))+(ISNUMBER(SEARCH(UPPER(TRIM(B21)),UPPER(Sanctions_PEP_List!$C$2:$C$26))))&gt;0,Sanctions_PEP_List!$B$2:$B$26,""))</f>
        <v>Khalid Ibrahim Mansour</v>
      </c>
      <c r="L21" s="5" t="str">
        <f aca="false" t="array" ref="L21:L21">_xlfn.TEXTJOIN(", ",TRUE(),IF((UPPER(TRIM(Sanctions_PEP_List!$B$2:$B$26))=UPPER(TRIM(B21)))+(ISNUMBER(SEARCH(UPPER(TRIM(B21)),UPPER(Sanctions_PEP_List!$C$2:$C$26))))&gt;0,Sanctions_PEP_List!$G$2:$G$26,""))</f>
        <v>UN Consolidated List</v>
      </c>
      <c r="M21" s="5" t="str">
        <f aca="false" t="array" ref="M21:M21">_xlfn.TEXTJOIN(", ",TRUE(),IF(ISNUMBER(SEARCH(UPPER(E21),UPPER(Sanctions_PEP_List!$B$2:$B$26)))*IF(F21&lt;&gt;"",ISNUMBER(SEARCH(UPPER(F21),UPPER(Sanctions_PEP_List!$B$2:$B$26))),1)&gt;0,Sanctions_PEP_List!$B$2:$B$26,""))</f>
        <v>Khalid Ibrahim Mansour</v>
      </c>
      <c r="N21" s="5" t="str">
        <f aca="false">IF(G21&gt;0,"CONFIRMED NAME MATCH - escalate for identity verification",IF(H21&gt;0,"ALIAS MATCH - escalate for identity verification",IF(I21&gt;=1,"POSSIBLE MATCH (partial name) - manual review","CLEAR")))</f>
        <v>ALIAS MATCH - escalate for identity verification</v>
      </c>
    </row>
    <row r="22" customFormat="false" ht="15" hidden="false" customHeight="false" outlineLevel="0" collapsed="false">
      <c r="A22" s="5" t="s">
        <v>250</v>
      </c>
      <c r="B22" s="5" t="s">
        <v>97</v>
      </c>
      <c r="C22" s="5" t="s">
        <v>99</v>
      </c>
      <c r="D22" s="5" t="s">
        <v>98</v>
      </c>
      <c r="E22" s="5" t="str">
        <f aca="false">TRIM(LEFT(B22,FIND(" ",B22&amp;" ")-1))</f>
        <v>Carlos</v>
      </c>
      <c r="F22" s="5" t="str">
        <f aca="false">TRIM(MID(B22,FIND(" ",B22&amp;" ")+1,255))</f>
        <v>Mendez</v>
      </c>
      <c r="G22" s="5" t="n">
        <f aca="false">SUMPRODUCT(--(UPPER(TRIM(Sanctions_PEP_List!$B$2:$B$26))=UPPER(TRIM(B22))))</f>
        <v>0</v>
      </c>
      <c r="H22" s="5" t="n">
        <f aca="false">SUMPRODUCT(--ISNUMBER(SEARCH(UPPER(TRIM(B22)),UPPER(Sanctions_PEP_List!$C$2:$C$26))))</f>
        <v>1</v>
      </c>
      <c r="I22" s="5" t="n">
        <f aca="false">SUMPRODUCT(ISNUMBER(SEARCH(UPPER(E22),UPPER(Sanctions_PEP_List!$B$2:$B$26)))*IF(F22&lt;&gt;"",ISNUMBER(SEARCH(UPPER(F22),UPPER(Sanctions_PEP_List!$B$2:$B$26))),1))</f>
        <v>1</v>
      </c>
      <c r="J22" s="5" t="n">
        <f aca="false">SUMPRODUCT((UPPER(TRIM(Sanctions_PEP_List!$B$2:$B$26))=UPPER(TRIM(B22)))*(((Sanctions_PEP_List!$F$2:$F$26&lt;&gt;"")*(C22&lt;&gt;"")*(Sanctions_PEP_List!$F$2:$F$26=C22))+(Sanctions_PEP_List!$E$2:$E$26=D22)))</f>
        <v>0</v>
      </c>
      <c r="K22" s="5" t="str">
        <f aca="false" t="array" ref="K22:K22">_xlfn.TEXTJOIN(", ",TRUE(),IF((UPPER(TRIM(Sanctions_PEP_List!$B$2:$B$26))=UPPER(TRIM(B22)))+(ISNUMBER(SEARCH(UPPER(TRIM(B22)),UPPER(Sanctions_PEP_List!$C$2:$C$26))))&gt;0,Sanctions_PEP_List!$B$2:$B$26,""))</f>
        <v>Carlos Mendez Vidal</v>
      </c>
      <c r="L22" s="5" t="str">
        <f aca="false" t="array" ref="L22:L22">_xlfn.TEXTJOIN(", ",TRUE(),IF((UPPER(TRIM(Sanctions_PEP_List!$B$2:$B$26))=UPPER(TRIM(B22)))+(ISNUMBER(SEARCH(UPPER(TRIM(B22)),UPPER(Sanctions_PEP_List!$C$2:$C$26))))&gt;0,Sanctions_PEP_List!$G$2:$G$26,""))</f>
        <v>PEP - Foreign Official</v>
      </c>
      <c r="M22" s="5" t="str">
        <f aca="false" t="array" ref="M22:M22">_xlfn.TEXTJOIN(", ",TRUE(),IF(ISNUMBER(SEARCH(UPPER(E22),UPPER(Sanctions_PEP_List!$B$2:$B$26)))*IF(F22&lt;&gt;"",ISNUMBER(SEARCH(UPPER(F22),UPPER(Sanctions_PEP_List!$B$2:$B$26))),1)&gt;0,Sanctions_PEP_List!$B$2:$B$26,""))</f>
        <v>Carlos Mendez Vidal</v>
      </c>
      <c r="N22" s="5" t="str">
        <f aca="false">IF(G22&gt;0,"CONFIRMED NAME MATCH - escalate for identity verification",IF(H22&gt;0,"ALIAS MATCH - escalate for identity verification",IF(I22&gt;=1,"POSSIBLE MATCH (partial name) - manual review","CLEAR")))</f>
        <v>ALIAS MATCH - escalate for identity verification</v>
      </c>
    </row>
    <row r="23" customFormat="false" ht="15" hidden="false" customHeight="false" outlineLevel="0" collapsed="false">
      <c r="A23" s="5" t="s">
        <v>252</v>
      </c>
      <c r="B23" s="5" t="s">
        <v>103</v>
      </c>
      <c r="C23" s="5" t="s">
        <v>105</v>
      </c>
      <c r="D23" s="5" t="s">
        <v>104</v>
      </c>
      <c r="E23" s="5" t="str">
        <f aca="false">TRIM(LEFT(B23,FIND(" ",B23&amp;" ")-1))</f>
        <v>Aisha</v>
      </c>
      <c r="F23" s="5" t="str">
        <f aca="false">TRIM(MID(B23,FIND(" ",B23&amp;" ")+1,255))</f>
        <v>Bello</v>
      </c>
      <c r="G23" s="5" t="n">
        <f aca="false">SUMPRODUCT(--(UPPER(TRIM(Sanctions_PEP_List!$B$2:$B$26))=UPPER(TRIM(B23))))</f>
        <v>0</v>
      </c>
      <c r="H23" s="5" t="n">
        <f aca="false">SUMPRODUCT(--ISNUMBER(SEARCH(UPPER(TRIM(B23)),UPPER(Sanctions_PEP_List!$C$2:$C$26))))</f>
        <v>1</v>
      </c>
      <c r="I23" s="5" t="n">
        <f aca="false">SUMPRODUCT(ISNUMBER(SEARCH(UPPER(E23),UPPER(Sanctions_PEP_List!$B$2:$B$26)))*IF(F23&lt;&gt;"",ISNUMBER(SEARCH(UPPER(F23),UPPER(Sanctions_PEP_List!$B$2:$B$26))),1))</f>
        <v>1</v>
      </c>
      <c r="J23" s="5" t="n">
        <f aca="false">SUMPRODUCT((UPPER(TRIM(Sanctions_PEP_List!$B$2:$B$26))=UPPER(TRIM(B23)))*(((Sanctions_PEP_List!$F$2:$F$26&lt;&gt;"")*(C23&lt;&gt;"")*(Sanctions_PEP_List!$F$2:$F$26=C23))+(Sanctions_PEP_List!$E$2:$E$26=D23)))</f>
        <v>0</v>
      </c>
      <c r="K23" s="5" t="str">
        <f aca="false" t="array" ref="K23:K23">_xlfn.TEXTJOIN(", ",TRUE(),IF((UPPER(TRIM(Sanctions_PEP_List!$B$2:$B$26))=UPPER(TRIM(B23)))+(ISNUMBER(SEARCH(UPPER(TRIM(B23)),UPPER(Sanctions_PEP_List!$C$2:$C$26))))&gt;0,Sanctions_PEP_List!$B$2:$B$26,""))</f>
        <v>Aisha Bello Suleiman</v>
      </c>
      <c r="L23" s="5" t="str">
        <f aca="false" t="array" ref="L23:L23">_xlfn.TEXTJOIN(", ",TRUE(),IF((UPPER(TRIM(Sanctions_PEP_List!$B$2:$B$26))=UPPER(TRIM(B23)))+(ISNUMBER(SEARCH(UPPER(TRIM(B23)),UPPER(Sanctions_PEP_List!$C$2:$C$26))))&gt;0,Sanctions_PEP_List!$G$2:$G$26,""))</f>
        <v>PEP - Foreign Official</v>
      </c>
      <c r="M23" s="5" t="str">
        <f aca="false" t="array" ref="M23:M23">_xlfn.TEXTJOIN(", ",TRUE(),IF(ISNUMBER(SEARCH(UPPER(E23),UPPER(Sanctions_PEP_List!$B$2:$B$26)))*IF(F23&lt;&gt;"",ISNUMBER(SEARCH(UPPER(F23),UPPER(Sanctions_PEP_List!$B$2:$B$26))),1)&gt;0,Sanctions_PEP_List!$B$2:$B$26,""))</f>
        <v>Aisha Bello Suleiman</v>
      </c>
      <c r="N23" s="5" t="str">
        <f aca="false">IF(G23&gt;0,"CONFIRMED NAME MATCH - escalate for identity verification",IF(H23&gt;0,"ALIAS MATCH - escalate for identity verification",IF(I23&gt;=1,"POSSIBLE MATCH (partial name) - manual review","CLEAR")))</f>
        <v>ALIAS MATCH - escalate for identity verification</v>
      </c>
    </row>
    <row r="24" customFormat="false" ht="15" hidden="false" customHeight="false" outlineLevel="0" collapsed="false">
      <c r="A24" s="5" t="s">
        <v>254</v>
      </c>
      <c r="B24" s="5" t="s">
        <v>153</v>
      </c>
      <c r="C24" s="5" t="s">
        <v>155</v>
      </c>
      <c r="D24" s="5" t="s">
        <v>154</v>
      </c>
      <c r="E24" s="5" t="str">
        <f aca="false">TRIM(LEFT(B24,FIND(" ",B24&amp;" ")-1))</f>
        <v>Kwame</v>
      </c>
      <c r="F24" s="5" t="str">
        <f aca="false">TRIM(MID(B24,FIND(" ",B24&amp;" ")+1,255))</f>
        <v>Owusu</v>
      </c>
      <c r="G24" s="5" t="n">
        <f aca="false">SUMPRODUCT(--(UPPER(TRIM(Sanctions_PEP_List!$B$2:$B$26))=UPPER(TRIM(B24))))</f>
        <v>0</v>
      </c>
      <c r="H24" s="5" t="n">
        <f aca="false">SUMPRODUCT(--ISNUMBER(SEARCH(UPPER(TRIM(B24)),UPPER(Sanctions_PEP_List!$C$2:$C$26))))</f>
        <v>1</v>
      </c>
      <c r="I24" s="5" t="n">
        <f aca="false">SUMPRODUCT(ISNUMBER(SEARCH(UPPER(E24),UPPER(Sanctions_PEP_List!$B$2:$B$26)))*IF(F24&lt;&gt;"",ISNUMBER(SEARCH(UPPER(F24),UPPER(Sanctions_PEP_List!$B$2:$B$26))),1))</f>
        <v>1</v>
      </c>
      <c r="J24" s="5" t="n">
        <f aca="false">SUMPRODUCT((UPPER(TRIM(Sanctions_PEP_List!$B$2:$B$26))=UPPER(TRIM(B24)))*(((Sanctions_PEP_List!$F$2:$F$26&lt;&gt;"")*(C24&lt;&gt;"")*(Sanctions_PEP_List!$F$2:$F$26=C24))+(Sanctions_PEP_List!$E$2:$E$26=D24)))</f>
        <v>0</v>
      </c>
      <c r="K24" s="5" t="str">
        <f aca="false" t="array" ref="K24:K24">_xlfn.TEXTJOIN(", ",TRUE(),IF((UPPER(TRIM(Sanctions_PEP_List!$B$2:$B$26))=UPPER(TRIM(B24)))+(ISNUMBER(SEARCH(UPPER(TRIM(B24)),UPPER(Sanctions_PEP_List!$C$2:$C$26))))&gt;0,Sanctions_PEP_List!$B$2:$B$26,""))</f>
        <v>Kwame Owusu Ansah</v>
      </c>
      <c r="L24" s="5" t="str">
        <f aca="false" t="array" ref="L24:L24">_xlfn.TEXTJOIN(", ",TRUE(),IF((UPPER(TRIM(Sanctions_PEP_List!$B$2:$B$26))=UPPER(TRIM(B24)))+(ISNUMBER(SEARCH(UPPER(TRIM(B24)),UPPER(Sanctions_PEP_List!$C$2:$C$26))))&gt;0,Sanctions_PEP_List!$G$2:$G$26,""))</f>
        <v>PEP - Domestic</v>
      </c>
      <c r="M24" s="5" t="str">
        <f aca="false" t="array" ref="M24:M24">_xlfn.TEXTJOIN(", ",TRUE(),IF(ISNUMBER(SEARCH(UPPER(E24),UPPER(Sanctions_PEP_List!$B$2:$B$26)))*IF(F24&lt;&gt;"",ISNUMBER(SEARCH(UPPER(F24),UPPER(Sanctions_PEP_List!$B$2:$B$26))),1)&gt;0,Sanctions_PEP_List!$B$2:$B$26,""))</f>
        <v>Kwame Owusu Ansah</v>
      </c>
      <c r="N24" s="5" t="str">
        <f aca="false">IF(G24&gt;0,"CONFIRMED NAME MATCH - escalate for identity verification",IF(H24&gt;0,"ALIAS MATCH - escalate for identity verification",IF(I24&gt;=1,"POSSIBLE MATCH (partial name) - manual review","CLEAR")))</f>
        <v>ALIAS MATCH - escalate for identity verification</v>
      </c>
    </row>
    <row r="25" customFormat="false" ht="15" hidden="false" customHeight="false" outlineLevel="0" collapsed="false">
      <c r="A25" s="5" t="s">
        <v>256</v>
      </c>
      <c r="B25" s="5" t="s">
        <v>257</v>
      </c>
      <c r="C25" s="5" t="s">
        <v>258</v>
      </c>
      <c r="D25" s="5" t="s">
        <v>178</v>
      </c>
      <c r="E25" s="5" t="str">
        <f aca="false">TRIM(LEFT(B25,FIND(" ",B25&amp;" ")-1))</f>
        <v>Rebecca</v>
      </c>
      <c r="F25" s="5" t="str">
        <f aca="false">TRIM(MID(B25,FIND(" ",B25&amp;" ")+1,255))</f>
        <v>Adams</v>
      </c>
      <c r="G25" s="5" t="n">
        <f aca="false">SUMPRODUCT(--(UPPER(TRIM(Sanctions_PEP_List!$B$2:$B$26))=UPPER(TRIM(B25))))</f>
        <v>0</v>
      </c>
      <c r="H25" s="5" t="n">
        <f aca="false">SUMPRODUCT(--ISNUMBER(SEARCH(UPPER(TRIM(B25)),UPPER(Sanctions_PEP_List!$C$2:$C$26))))</f>
        <v>0</v>
      </c>
      <c r="I25" s="5" t="n">
        <f aca="false">SUMPRODUCT(ISNUMBER(SEARCH(UPPER(E25),UPPER(Sanctions_PEP_List!$B$2:$B$26)))*IF(F25&lt;&gt;"",ISNUMBER(SEARCH(UPPER(F25),UPPER(Sanctions_PEP_List!$B$2:$B$26))),1))</f>
        <v>0</v>
      </c>
      <c r="J25" s="5" t="n">
        <f aca="false">SUMPRODUCT((UPPER(TRIM(Sanctions_PEP_List!$B$2:$B$26))=UPPER(TRIM(B25)))*(((Sanctions_PEP_List!$F$2:$F$26&lt;&gt;"")*(C25&lt;&gt;"")*(Sanctions_PEP_List!$F$2:$F$26=C25))+(Sanctions_PEP_List!$E$2:$E$26=D25)))</f>
        <v>0</v>
      </c>
      <c r="K25" s="5" t="str">
        <f aca="false" t="array" ref="K25:K25">_xlfn.TEXTJOIN(", ",TRUE(),IF((UPPER(TRIM(Sanctions_PEP_List!$B$2:$B$26))=UPPER(TRIM(B25)))+(ISNUMBER(SEARCH(UPPER(TRIM(B25)),UPPER(Sanctions_PEP_List!$C$2:$C$26))))&gt;0,Sanctions_PEP_List!$B$2:$B$26,""))</f>
        <v/>
      </c>
      <c r="L25" s="5" t="str">
        <f aca="false" t="array" ref="L25:L25">_xlfn.TEXTJOIN(", ",TRUE(),IF((UPPER(TRIM(Sanctions_PEP_List!$B$2:$B$26))=UPPER(TRIM(B25)))+(ISNUMBER(SEARCH(UPPER(TRIM(B25)),UPPER(Sanctions_PEP_List!$C$2:$C$26))))&gt;0,Sanctions_PEP_List!$G$2:$G$26,""))</f>
        <v/>
      </c>
      <c r="M25" s="5" t="str">
        <f aca="false" t="array" ref="M25:M25">_xlfn.TEXTJOIN(", ",TRUE(),IF(ISNUMBER(SEARCH(UPPER(E25),UPPER(Sanctions_PEP_List!$B$2:$B$26)))*IF(F25&lt;&gt;"",ISNUMBER(SEARCH(UPPER(F25),UPPER(Sanctions_PEP_List!$B$2:$B$26))),1)&gt;0,Sanctions_PEP_List!$B$2:$B$26,""))</f>
        <v/>
      </c>
      <c r="N25" s="5" t="str">
        <f aca="false">IF(G25&gt;0,"CONFIRMED NAME MATCH - escalate for identity verification",IF(H25&gt;0,"ALIAS MATCH - escalate for identity verification",IF(I25&gt;=1,"POSSIBLE MATCH (partial name) - manual review","CLEAR")))</f>
        <v>CLEAR</v>
      </c>
    </row>
    <row r="26" customFormat="false" ht="15" hidden="false" customHeight="false" outlineLevel="0" collapsed="false">
      <c r="A26" s="5" t="s">
        <v>260</v>
      </c>
      <c r="B26" s="5" t="s">
        <v>261</v>
      </c>
      <c r="C26" s="5" t="s">
        <v>262</v>
      </c>
      <c r="D26" s="5" t="s">
        <v>178</v>
      </c>
      <c r="E26" s="5" t="str">
        <f aca="false">TRIM(LEFT(B26,FIND(" ",B26&amp;" ")-1))</f>
        <v>Daniel</v>
      </c>
      <c r="F26" s="5" t="str">
        <f aca="false">TRIM(MID(B26,FIND(" ",B26&amp;" ")+1,255))</f>
        <v>Foster</v>
      </c>
      <c r="G26" s="5" t="n">
        <f aca="false">SUMPRODUCT(--(UPPER(TRIM(Sanctions_PEP_List!$B$2:$B$26))=UPPER(TRIM(B26))))</f>
        <v>0</v>
      </c>
      <c r="H26" s="5" t="n">
        <f aca="false">SUMPRODUCT(--ISNUMBER(SEARCH(UPPER(TRIM(B26)),UPPER(Sanctions_PEP_List!$C$2:$C$26))))</f>
        <v>0</v>
      </c>
      <c r="I26" s="5" t="n">
        <f aca="false">SUMPRODUCT(ISNUMBER(SEARCH(UPPER(E26),UPPER(Sanctions_PEP_List!$B$2:$B$26)))*IF(F26&lt;&gt;"",ISNUMBER(SEARCH(UPPER(F26),UPPER(Sanctions_PEP_List!$B$2:$B$26))),1))</f>
        <v>0</v>
      </c>
      <c r="J26" s="5" t="n">
        <f aca="false">SUMPRODUCT((UPPER(TRIM(Sanctions_PEP_List!$B$2:$B$26))=UPPER(TRIM(B26)))*(((Sanctions_PEP_List!$F$2:$F$26&lt;&gt;"")*(C26&lt;&gt;"")*(Sanctions_PEP_List!$F$2:$F$26=C26))+(Sanctions_PEP_List!$E$2:$E$26=D26)))</f>
        <v>0</v>
      </c>
      <c r="K26" s="5" t="str">
        <f aca="false" t="array" ref="K26:K26">_xlfn.TEXTJOIN(", ",TRUE(),IF((UPPER(TRIM(Sanctions_PEP_List!$B$2:$B$26))=UPPER(TRIM(B26)))+(ISNUMBER(SEARCH(UPPER(TRIM(B26)),UPPER(Sanctions_PEP_List!$C$2:$C$26))))&gt;0,Sanctions_PEP_List!$B$2:$B$26,""))</f>
        <v/>
      </c>
      <c r="L26" s="5" t="str">
        <f aca="false" t="array" ref="L26:L26">_xlfn.TEXTJOIN(", ",TRUE(),IF((UPPER(TRIM(Sanctions_PEP_List!$B$2:$B$26))=UPPER(TRIM(B26)))+(ISNUMBER(SEARCH(UPPER(TRIM(B26)),UPPER(Sanctions_PEP_List!$C$2:$C$26))))&gt;0,Sanctions_PEP_List!$G$2:$G$26,""))</f>
        <v/>
      </c>
      <c r="M26" s="5" t="str">
        <f aca="false" t="array" ref="M26:M26">_xlfn.TEXTJOIN(", ",TRUE(),IF(ISNUMBER(SEARCH(UPPER(E26),UPPER(Sanctions_PEP_List!$B$2:$B$26)))*IF(F26&lt;&gt;"",ISNUMBER(SEARCH(UPPER(F26),UPPER(Sanctions_PEP_List!$B$2:$B$26))),1)&gt;0,Sanctions_PEP_List!$B$2:$B$26,""))</f>
        <v/>
      </c>
      <c r="N26" s="5" t="str">
        <f aca="false">IF(G26&gt;0,"CONFIRMED NAME MATCH - escalate for identity verification",IF(H26&gt;0,"ALIAS MATCH - escalate for identity verification",IF(I26&gt;=1,"POSSIBLE MATCH (partial name) - manual review","CLEAR")))</f>
        <v>CLEAR</v>
      </c>
    </row>
    <row r="27" customFormat="false" ht="15" hidden="false" customHeight="false" outlineLevel="0" collapsed="false">
      <c r="A27" s="5" t="s">
        <v>264</v>
      </c>
      <c r="B27" s="5" t="s">
        <v>265</v>
      </c>
      <c r="C27" s="5" t="s">
        <v>266</v>
      </c>
      <c r="D27" s="5" t="s">
        <v>178</v>
      </c>
      <c r="E27" s="5" t="str">
        <f aca="false">TRIM(LEFT(B27,FIND(" ",B27&amp;" ")-1))</f>
        <v>Olivia</v>
      </c>
      <c r="F27" s="5" t="str">
        <f aca="false">TRIM(MID(B27,FIND(" ",B27&amp;" ")+1,255))</f>
        <v>Martinez</v>
      </c>
      <c r="G27" s="5" t="n">
        <f aca="false">SUMPRODUCT(--(UPPER(TRIM(Sanctions_PEP_List!$B$2:$B$26))=UPPER(TRIM(B27))))</f>
        <v>0</v>
      </c>
      <c r="H27" s="5" t="n">
        <f aca="false">SUMPRODUCT(--ISNUMBER(SEARCH(UPPER(TRIM(B27)),UPPER(Sanctions_PEP_List!$C$2:$C$26))))</f>
        <v>0</v>
      </c>
      <c r="I27" s="5" t="n">
        <f aca="false">SUMPRODUCT(ISNUMBER(SEARCH(UPPER(E27),UPPER(Sanctions_PEP_List!$B$2:$B$26)))*IF(F27&lt;&gt;"",ISNUMBER(SEARCH(UPPER(F27),UPPER(Sanctions_PEP_List!$B$2:$B$26))),1))</f>
        <v>0</v>
      </c>
      <c r="J27" s="5" t="n">
        <f aca="false">SUMPRODUCT((UPPER(TRIM(Sanctions_PEP_List!$B$2:$B$26))=UPPER(TRIM(B27)))*(((Sanctions_PEP_List!$F$2:$F$26&lt;&gt;"")*(C27&lt;&gt;"")*(Sanctions_PEP_List!$F$2:$F$26=C27))+(Sanctions_PEP_List!$E$2:$E$26=D27)))</f>
        <v>0</v>
      </c>
      <c r="K27" s="5" t="str">
        <f aca="false" t="array" ref="K27:K27">_xlfn.TEXTJOIN(", ",TRUE(),IF((UPPER(TRIM(Sanctions_PEP_List!$B$2:$B$26))=UPPER(TRIM(B27)))+(ISNUMBER(SEARCH(UPPER(TRIM(B27)),UPPER(Sanctions_PEP_List!$C$2:$C$26))))&gt;0,Sanctions_PEP_List!$B$2:$B$26,""))</f>
        <v/>
      </c>
      <c r="L27" s="5" t="str">
        <f aca="false" t="array" ref="L27:L27">_xlfn.TEXTJOIN(", ",TRUE(),IF((UPPER(TRIM(Sanctions_PEP_List!$B$2:$B$26))=UPPER(TRIM(B27)))+(ISNUMBER(SEARCH(UPPER(TRIM(B27)),UPPER(Sanctions_PEP_List!$C$2:$C$26))))&gt;0,Sanctions_PEP_List!$G$2:$G$26,""))</f>
        <v/>
      </c>
      <c r="M27" s="5" t="str">
        <f aca="false" t="array" ref="M27:M27">_xlfn.TEXTJOIN(", ",TRUE(),IF(ISNUMBER(SEARCH(UPPER(E27),UPPER(Sanctions_PEP_List!$B$2:$B$26)))*IF(F27&lt;&gt;"",ISNUMBER(SEARCH(UPPER(F27),UPPER(Sanctions_PEP_List!$B$2:$B$26))),1)&gt;0,Sanctions_PEP_List!$B$2:$B$26,""))</f>
        <v/>
      </c>
      <c r="N27" s="5" t="str">
        <f aca="false">IF(G27&gt;0,"CONFIRMED NAME MATCH - escalate for identity verification",IF(H27&gt;0,"ALIAS MATCH - escalate for identity verification",IF(I27&gt;=1,"POSSIBLE MATCH (partial name) - manual review","CLEAR")))</f>
        <v>CLEAR</v>
      </c>
    </row>
    <row r="28" customFormat="false" ht="15" hidden="false" customHeight="false" outlineLevel="0" collapsed="false">
      <c r="A28" s="5" t="s">
        <v>268</v>
      </c>
      <c r="B28" s="5" t="s">
        <v>269</v>
      </c>
      <c r="C28" s="5" t="s">
        <v>270</v>
      </c>
      <c r="D28" s="5" t="s">
        <v>178</v>
      </c>
      <c r="E28" s="5" t="str">
        <f aca="false">TRIM(LEFT(B28,FIND(" ",B28&amp;" ")-1))</f>
        <v>Ahmed</v>
      </c>
      <c r="F28" s="5" t="str">
        <f aca="false">TRIM(MID(B28,FIND(" ",B28&amp;" ")+1,255))</f>
        <v>Hassan</v>
      </c>
      <c r="G28" s="5" t="n">
        <f aca="false">SUMPRODUCT(--(UPPER(TRIM(Sanctions_PEP_List!$B$2:$B$26))=UPPER(TRIM(B28))))</f>
        <v>0</v>
      </c>
      <c r="H28" s="5" t="n">
        <f aca="false">SUMPRODUCT(--ISNUMBER(SEARCH(UPPER(TRIM(B28)),UPPER(Sanctions_PEP_List!$C$2:$C$26))))</f>
        <v>0</v>
      </c>
      <c r="I28" s="5" t="n">
        <f aca="false">SUMPRODUCT(ISNUMBER(SEARCH(UPPER(E28),UPPER(Sanctions_PEP_List!$B$2:$B$26)))*IF(F28&lt;&gt;"",ISNUMBER(SEARCH(UPPER(F28),UPPER(Sanctions_PEP_List!$B$2:$B$26))),1))</f>
        <v>0</v>
      </c>
      <c r="J28" s="5" t="n">
        <f aca="false">SUMPRODUCT((UPPER(TRIM(Sanctions_PEP_List!$B$2:$B$26))=UPPER(TRIM(B28)))*(((Sanctions_PEP_List!$F$2:$F$26&lt;&gt;"")*(C28&lt;&gt;"")*(Sanctions_PEP_List!$F$2:$F$26=C28))+(Sanctions_PEP_List!$E$2:$E$26=D28)))</f>
        <v>0</v>
      </c>
      <c r="K28" s="5" t="str">
        <f aca="false" t="array" ref="K28:K28">_xlfn.TEXTJOIN(", ",TRUE(),IF((UPPER(TRIM(Sanctions_PEP_List!$B$2:$B$26))=UPPER(TRIM(B28)))+(ISNUMBER(SEARCH(UPPER(TRIM(B28)),UPPER(Sanctions_PEP_List!$C$2:$C$26))))&gt;0,Sanctions_PEP_List!$B$2:$B$26,""))</f>
        <v/>
      </c>
      <c r="L28" s="5" t="str">
        <f aca="false" t="array" ref="L28:L28">_xlfn.TEXTJOIN(", ",TRUE(),IF((UPPER(TRIM(Sanctions_PEP_List!$B$2:$B$26))=UPPER(TRIM(B28)))+(ISNUMBER(SEARCH(UPPER(TRIM(B28)),UPPER(Sanctions_PEP_List!$C$2:$C$26))))&gt;0,Sanctions_PEP_List!$G$2:$G$26,""))</f>
        <v/>
      </c>
      <c r="M28" s="5" t="str">
        <f aca="false" t="array" ref="M28:M28">_xlfn.TEXTJOIN(", ",TRUE(),IF(ISNUMBER(SEARCH(UPPER(E28),UPPER(Sanctions_PEP_List!$B$2:$B$26)))*IF(F28&lt;&gt;"",ISNUMBER(SEARCH(UPPER(F28),UPPER(Sanctions_PEP_List!$B$2:$B$26))),1)&gt;0,Sanctions_PEP_List!$B$2:$B$26,""))</f>
        <v/>
      </c>
      <c r="N28" s="5" t="str">
        <f aca="false">IF(G28&gt;0,"CONFIRMED NAME MATCH - escalate for identity verification",IF(H28&gt;0,"ALIAS MATCH - escalate for identity verification",IF(I28&gt;=1,"POSSIBLE MATCH (partial name) - manual review","CLEAR")))</f>
        <v>CLEAR</v>
      </c>
    </row>
    <row r="29" customFormat="false" ht="15" hidden="false" customHeight="false" outlineLevel="0" collapsed="false">
      <c r="A29" s="5" t="s">
        <v>272</v>
      </c>
      <c r="B29" s="5" t="s">
        <v>273</v>
      </c>
      <c r="C29" s="5" t="s">
        <v>274</v>
      </c>
      <c r="D29" s="5" t="s">
        <v>178</v>
      </c>
      <c r="E29" s="5" t="str">
        <f aca="false">TRIM(LEFT(B29,FIND(" ",B29&amp;" ")-1))</f>
        <v>Grace</v>
      </c>
      <c r="F29" s="5" t="str">
        <f aca="false">TRIM(MID(B29,FIND(" ",B29&amp;" ")+1,255))</f>
        <v>Chen</v>
      </c>
      <c r="G29" s="5" t="n">
        <f aca="false">SUMPRODUCT(--(UPPER(TRIM(Sanctions_PEP_List!$B$2:$B$26))=UPPER(TRIM(B29))))</f>
        <v>0</v>
      </c>
      <c r="H29" s="5" t="n">
        <f aca="false">SUMPRODUCT(--ISNUMBER(SEARCH(UPPER(TRIM(B29)),UPPER(Sanctions_PEP_List!$C$2:$C$26))))</f>
        <v>0</v>
      </c>
      <c r="I29" s="5" t="n">
        <f aca="false">SUMPRODUCT(ISNUMBER(SEARCH(UPPER(E29),UPPER(Sanctions_PEP_List!$B$2:$B$26)))*IF(F29&lt;&gt;"",ISNUMBER(SEARCH(UPPER(F29),UPPER(Sanctions_PEP_List!$B$2:$B$26))),1))</f>
        <v>0</v>
      </c>
      <c r="J29" s="5" t="n">
        <f aca="false">SUMPRODUCT((UPPER(TRIM(Sanctions_PEP_List!$B$2:$B$26))=UPPER(TRIM(B29)))*(((Sanctions_PEP_List!$F$2:$F$26&lt;&gt;"")*(C29&lt;&gt;"")*(Sanctions_PEP_List!$F$2:$F$26=C29))+(Sanctions_PEP_List!$E$2:$E$26=D29)))</f>
        <v>0</v>
      </c>
      <c r="K29" s="5" t="str">
        <f aca="false" t="array" ref="K29:K29">_xlfn.TEXTJOIN(", ",TRUE(),IF((UPPER(TRIM(Sanctions_PEP_List!$B$2:$B$26))=UPPER(TRIM(B29)))+(ISNUMBER(SEARCH(UPPER(TRIM(B29)),UPPER(Sanctions_PEP_List!$C$2:$C$26))))&gt;0,Sanctions_PEP_List!$B$2:$B$26,""))</f>
        <v/>
      </c>
      <c r="L29" s="5" t="str">
        <f aca="false" t="array" ref="L29:L29">_xlfn.TEXTJOIN(", ",TRUE(),IF((UPPER(TRIM(Sanctions_PEP_List!$B$2:$B$26))=UPPER(TRIM(B29)))+(ISNUMBER(SEARCH(UPPER(TRIM(B29)),UPPER(Sanctions_PEP_List!$C$2:$C$26))))&gt;0,Sanctions_PEP_List!$G$2:$G$26,""))</f>
        <v/>
      </c>
      <c r="M29" s="5" t="str">
        <f aca="false" t="array" ref="M29:M29">_xlfn.TEXTJOIN(", ",TRUE(),IF(ISNUMBER(SEARCH(UPPER(E29),UPPER(Sanctions_PEP_List!$B$2:$B$26)))*IF(F29&lt;&gt;"",ISNUMBER(SEARCH(UPPER(F29),UPPER(Sanctions_PEP_List!$B$2:$B$26))),1)&gt;0,Sanctions_PEP_List!$B$2:$B$26,""))</f>
        <v/>
      </c>
      <c r="N29" s="5" t="str">
        <f aca="false">IF(G29&gt;0,"CONFIRMED NAME MATCH - escalate for identity verification",IF(H29&gt;0,"ALIAS MATCH - escalate for identity verification",IF(I29&gt;=1,"POSSIBLE MATCH (partial name) - manual review","CLEAR")))</f>
        <v>CLEAR</v>
      </c>
    </row>
    <row r="30" customFormat="false" ht="15" hidden="false" customHeight="false" outlineLevel="0" collapsed="false">
      <c r="A30" s="5" t="s">
        <v>276</v>
      </c>
      <c r="B30" s="5" t="s">
        <v>277</v>
      </c>
      <c r="C30" s="5" t="s">
        <v>278</v>
      </c>
      <c r="D30" s="5" t="s">
        <v>178</v>
      </c>
      <c r="E30" s="5" t="str">
        <f aca="false">TRIM(LEFT(B30,FIND(" ",B30&amp;" ")-1))</f>
        <v>Robert</v>
      </c>
      <c r="F30" s="5" t="str">
        <f aca="false">TRIM(MID(B30,FIND(" ",B30&amp;" ")+1,255))</f>
        <v>Hayes</v>
      </c>
      <c r="G30" s="5" t="n">
        <f aca="false">SUMPRODUCT(--(UPPER(TRIM(Sanctions_PEP_List!$B$2:$B$26))=UPPER(TRIM(B30))))</f>
        <v>0</v>
      </c>
      <c r="H30" s="5" t="n">
        <f aca="false">SUMPRODUCT(--ISNUMBER(SEARCH(UPPER(TRIM(B30)),UPPER(Sanctions_PEP_List!$C$2:$C$26))))</f>
        <v>0</v>
      </c>
      <c r="I30" s="5" t="n">
        <f aca="false">SUMPRODUCT(ISNUMBER(SEARCH(UPPER(E30),UPPER(Sanctions_PEP_List!$B$2:$B$26)))*IF(F30&lt;&gt;"",ISNUMBER(SEARCH(UPPER(F30),UPPER(Sanctions_PEP_List!$B$2:$B$26))),1))</f>
        <v>0</v>
      </c>
      <c r="J30" s="5" t="n">
        <f aca="false">SUMPRODUCT((UPPER(TRIM(Sanctions_PEP_List!$B$2:$B$26))=UPPER(TRIM(B30)))*(((Sanctions_PEP_List!$F$2:$F$26&lt;&gt;"")*(C30&lt;&gt;"")*(Sanctions_PEP_List!$F$2:$F$26=C30))+(Sanctions_PEP_List!$E$2:$E$26=D30)))</f>
        <v>0</v>
      </c>
      <c r="K30" s="5" t="str">
        <f aca="false" t="array" ref="K30:K30">_xlfn.TEXTJOIN(", ",TRUE(),IF((UPPER(TRIM(Sanctions_PEP_List!$B$2:$B$26))=UPPER(TRIM(B30)))+(ISNUMBER(SEARCH(UPPER(TRIM(B30)),UPPER(Sanctions_PEP_List!$C$2:$C$26))))&gt;0,Sanctions_PEP_List!$B$2:$B$26,""))</f>
        <v/>
      </c>
      <c r="L30" s="5" t="str">
        <f aca="false" t="array" ref="L30:L30">_xlfn.TEXTJOIN(", ",TRUE(),IF((UPPER(TRIM(Sanctions_PEP_List!$B$2:$B$26))=UPPER(TRIM(B30)))+(ISNUMBER(SEARCH(UPPER(TRIM(B30)),UPPER(Sanctions_PEP_List!$C$2:$C$26))))&gt;0,Sanctions_PEP_List!$G$2:$G$26,""))</f>
        <v/>
      </c>
      <c r="M30" s="5" t="str">
        <f aca="false" t="array" ref="M30:M30">_xlfn.TEXTJOIN(", ",TRUE(),IF(ISNUMBER(SEARCH(UPPER(E30),UPPER(Sanctions_PEP_List!$B$2:$B$26)))*IF(F30&lt;&gt;"",ISNUMBER(SEARCH(UPPER(F30),UPPER(Sanctions_PEP_List!$B$2:$B$26))),1)&gt;0,Sanctions_PEP_List!$B$2:$B$26,""))</f>
        <v/>
      </c>
      <c r="N30" s="5" t="str">
        <f aca="false">IF(G30&gt;0,"CONFIRMED NAME MATCH - escalate for identity verification",IF(H30&gt;0,"ALIAS MATCH - escalate for identity verification",IF(I30&gt;=1,"POSSIBLE MATCH (partial name) - manual review","CLEAR")))</f>
        <v>CLEAR</v>
      </c>
    </row>
    <row r="31" customFormat="false" ht="15" hidden="false" customHeight="false" outlineLevel="0" collapsed="false">
      <c r="A31" s="5" t="s">
        <v>280</v>
      </c>
      <c r="B31" s="5" t="s">
        <v>281</v>
      </c>
      <c r="C31" s="5" t="s">
        <v>282</v>
      </c>
      <c r="D31" s="5" t="s">
        <v>178</v>
      </c>
      <c r="E31" s="5" t="str">
        <f aca="false">TRIM(LEFT(B31,FIND(" ",B31&amp;" ")-1))</f>
        <v>Nadia</v>
      </c>
      <c r="F31" s="5" t="str">
        <f aca="false">TRIM(MID(B31,FIND(" ",B31&amp;" ")+1,255))</f>
        <v>Petrov</v>
      </c>
      <c r="G31" s="5" t="n">
        <f aca="false">SUMPRODUCT(--(UPPER(TRIM(Sanctions_PEP_List!$B$2:$B$26))=UPPER(TRIM(B31))))</f>
        <v>0</v>
      </c>
      <c r="H31" s="5" t="n">
        <f aca="false">SUMPRODUCT(--ISNUMBER(SEARCH(UPPER(TRIM(B31)),UPPER(Sanctions_PEP_List!$C$2:$C$26))))</f>
        <v>0</v>
      </c>
      <c r="I31" s="5" t="n">
        <f aca="false">SUMPRODUCT(ISNUMBER(SEARCH(UPPER(E31),UPPER(Sanctions_PEP_List!$B$2:$B$26)))*IF(F31&lt;&gt;"",ISNUMBER(SEARCH(UPPER(F31),UPPER(Sanctions_PEP_List!$B$2:$B$26))),1))</f>
        <v>0</v>
      </c>
      <c r="J31" s="5" t="n">
        <f aca="false">SUMPRODUCT((UPPER(TRIM(Sanctions_PEP_List!$B$2:$B$26))=UPPER(TRIM(B31)))*(((Sanctions_PEP_List!$F$2:$F$26&lt;&gt;"")*(C31&lt;&gt;"")*(Sanctions_PEP_List!$F$2:$F$26=C31))+(Sanctions_PEP_List!$E$2:$E$26=D31)))</f>
        <v>0</v>
      </c>
      <c r="K31" s="5" t="str">
        <f aca="false" t="array" ref="K31:K31">_xlfn.TEXTJOIN(", ",TRUE(),IF((UPPER(TRIM(Sanctions_PEP_List!$B$2:$B$26))=UPPER(TRIM(B31)))+(ISNUMBER(SEARCH(UPPER(TRIM(B31)),UPPER(Sanctions_PEP_List!$C$2:$C$26))))&gt;0,Sanctions_PEP_List!$B$2:$B$26,""))</f>
        <v/>
      </c>
      <c r="L31" s="5" t="str">
        <f aca="false" t="array" ref="L31:L31">_xlfn.TEXTJOIN(", ",TRUE(),IF((UPPER(TRIM(Sanctions_PEP_List!$B$2:$B$26))=UPPER(TRIM(B31)))+(ISNUMBER(SEARCH(UPPER(TRIM(B31)),UPPER(Sanctions_PEP_List!$C$2:$C$26))))&gt;0,Sanctions_PEP_List!$G$2:$G$26,""))</f>
        <v/>
      </c>
      <c r="M31" s="5" t="str">
        <f aca="false" t="array" ref="M31:M31">_xlfn.TEXTJOIN(", ",TRUE(),IF(ISNUMBER(SEARCH(UPPER(E31),UPPER(Sanctions_PEP_List!$B$2:$B$26)))*IF(F31&lt;&gt;"",ISNUMBER(SEARCH(UPPER(F31),UPPER(Sanctions_PEP_List!$B$2:$B$26))),1)&gt;0,Sanctions_PEP_List!$B$2:$B$26,""))</f>
        <v/>
      </c>
      <c r="N31" s="5" t="str">
        <f aca="false">IF(G31&gt;0,"CONFIRMED NAME MATCH - escalate for identity verification",IF(H31&gt;0,"ALIAS MATCH - escalate for identity verification",IF(I31&gt;=1,"POSSIBLE MATCH (partial name) - manual review","CLEAR")))</f>
        <v>CLEAR</v>
      </c>
    </row>
  </sheetData>
  <autoFilter ref="A1:N31"/>
  <conditionalFormatting sqref="A2:N31">
    <cfRule type="expression" priority="2" aboveAverage="0" equalAverage="0" bottom="0" percent="0" rank="0" text="" dxfId="5">
      <formula>AND(ISNUMBER(SEARCH("MATCH",$N2)),$N2&lt;&gt;"POSSIBLE MATCH (partial name) - manual review")</formula>
    </cfRule>
    <cfRule type="expression" priority="3" aboveAverage="0" equalAverage="0" bottom="0" percent="0" rank="0" text="" dxfId="6">
      <formula>$N2="POSSIBLE MATCH (partial name) - manual review"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2026-09-19T15:15:37Z</dcterms:created>
  <dc:creator>openpyxl</dc:creator>
  <dc:description/>
  <dc:language>en-US</dc:language>
  <cp:lastModifiedBy/>
  <dcterms:modified xsi:type="dcterms:W3CDTF">2026-09-19T15:15:37Z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